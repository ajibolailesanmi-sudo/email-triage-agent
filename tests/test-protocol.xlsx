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ive checks" sheetId="2" state="visible" r:id="rId2"/>
    <sheet xmlns:r="http://schemas.openxmlformats.org/officeDocument/2006/relationships" name="Manual" sheetId="3" state="visible" r:id="rId3"/>
    <sheet xmlns:r="http://schemas.openxmlformats.org/officeDocument/2006/relationships" name="Evaluation" sheetId="4" state="visible" r:id="rId4"/>
    <sheet xmlns:r="http://schemas.openxmlformats.org/officeDocument/2006/relationships" name="Traceability" sheetId="5" state="visible" r:id="rId5"/>
    <sheet xmlns:r="http://schemas.openxmlformats.org/officeDocument/2006/relationships" name="Chang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TRUE&quot;;&quot;TRUE&quot;;&quot;FALSE&quot;"/>
    <numFmt numFmtId="165" formatCode="0.0%"/>
    <numFmt numFmtId="166" formatCode="&quot;at least &quot;0%"/>
    <numFmt numFmtId="167" formatCode="&quot;always&quot;"/>
  </numFmts>
  <fonts count="9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i val="1"/>
      <color rgb="00666666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1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1" pivotButton="0" quotePrefix="0" xfId="0"/>
    <xf numFmtId="0" fontId="3" fillId="0" borderId="2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6" fillId="0" borderId="1" pivotButton="0" quotePrefix="0" xfId="0"/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0" pivotButton="0" quotePrefix="0" xfId="0"/>
    <xf numFmtId="0" fontId="8" fillId="0" borderId="0" pivotButton="0" quotePrefix="0" xfId="0"/>
    <xf numFmtId="0" fontId="6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top"/>
    </xf>
    <xf numFmtId="9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2" fontId="5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horizontal="center" vertical="top"/>
    </xf>
    <xf numFmtId="166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7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5" customWidth="1" min="6" max="6"/>
    <col width="13" customWidth="1" min="7" max="7"/>
  </cols>
  <sheetData>
    <row r="1">
      <c r="A1" s="1" t="inlineStr">
        <is>
          <t>Email Triage Agent: Test Protocol and Results</t>
        </is>
      </c>
    </row>
    <row r="2" ht="30" customHeight="1">
      <c r="A2" s="2" t="inlineStr">
        <is>
          <t>Solvant Labs demo build for a sample IT services firm's shared support inbox, on Make with the Gemini API. Yellow cells hold recorded results; everything else is calculated. The prose version is docs/04-test-protocol.md.</t>
        </is>
      </c>
    </row>
    <row r="4">
      <c r="A4" s="3" t="inlineStr">
        <is>
          <t>Test run details</t>
        </is>
      </c>
    </row>
    <row r="5" ht="16" customHeight="1">
      <c r="A5" s="4" t="inlineStr">
        <is>
          <t>Executed by</t>
        </is>
      </c>
      <c r="B5" s="5" t="inlineStr">
        <is>
          <t>Olaoluwa Ilesanmi (browser steps run with Claude in Chrome)</t>
        </is>
      </c>
      <c r="C5" s="6" t="n"/>
      <c r="D5" s="6" t="n"/>
      <c r="E5" s="6" t="n"/>
      <c r="F5" s="6" t="n"/>
      <c r="G5" s="6" t="n"/>
    </row>
    <row r="6" ht="16" customHeight="1">
      <c r="A6" s="4" t="inlineStr">
        <is>
          <t>Dates</t>
        </is>
      </c>
      <c r="B6" s="5" t="inlineStr">
        <is>
          <t>2026-10-08 to 2026-10-12</t>
        </is>
      </c>
      <c r="C6" s="6" t="n"/>
      <c r="D6" s="6" t="n"/>
      <c r="E6" s="6" t="n"/>
      <c r="F6" s="6" t="n"/>
      <c r="G6" s="6" t="n"/>
    </row>
    <row r="7" ht="42" customHeight="1">
      <c r="A7" s="4" t="inlineStr">
        <is>
          <t>Environment</t>
        </is>
      </c>
      <c r="B7" s="5" t="inlineStr">
        <is>
          <t>Make (free plan, us2 zone); Gemini API, gemini-3.5-flash-lite (free tier); Gmail (personal account, plus address); Google Sheets; Slack; the n8n lead router for the sales hand-off</t>
        </is>
      </c>
      <c r="C7" s="6" t="n"/>
      <c r="D7" s="6" t="n"/>
      <c r="E7" s="6" t="n"/>
      <c r="F7" s="6" t="n"/>
      <c r="G7" s="6" t="n"/>
    </row>
    <row r="8" ht="16" customHeight="1">
      <c r="A8" s="4" t="inlineStr">
        <is>
          <t>Evaluation run</t>
        </is>
      </c>
      <c r="B8" s="5" t="inlineStr">
        <is>
          <t>20261009-0633, prompt 1.1, in four batches (0633, 0635, 0637, 0639)</t>
        </is>
      </c>
      <c r="C8" s="6" t="n"/>
      <c r="D8" s="6" t="n"/>
      <c r="E8" s="6" t="n"/>
      <c r="F8" s="6" t="n"/>
      <c r="G8" s="6" t="n"/>
    </row>
    <row r="9" ht="29" customHeight="1">
      <c r="A9" s="4" t="inlineStr">
        <is>
          <t>Scenario versions</t>
        </is>
      </c>
      <c r="B9" s="5" t="inlineStr">
        <is>
          <t>The final versions generated by scenarios/build_blueprints.py. Earlier runs used the versions before the fixes listed below; each fix was verified by a run afterwards</t>
        </is>
      </c>
      <c r="C9" s="6" t="n"/>
      <c r="D9" s="6" t="n"/>
      <c r="E9" s="6" t="n"/>
      <c r="F9" s="6" t="n"/>
      <c r="G9" s="6" t="n"/>
    </row>
    <row r="10" ht="29" customHeight="1">
      <c r="A10" s="4" t="inlineStr">
        <is>
          <t>Changes after acceptance</t>
        </is>
      </c>
      <c r="B10" s="5" t="inlineStr">
        <is>
          <t>2026-10-13: three changes, each checked with a recorded run (tab Changes); the results above are from 8 to 12 October and stand as recorded</t>
        </is>
      </c>
      <c r="C10" s="6" t="n"/>
      <c r="D10" s="6" t="n"/>
      <c r="E10" s="6" t="n"/>
      <c r="F10" s="6" t="n"/>
      <c r="G10" s="6" t="n"/>
    </row>
    <row r="11">
      <c r="A11" s="3" t="inlineStr">
        <is>
          <t>Live and manual tests</t>
        </is>
      </c>
    </row>
    <row r="12">
      <c r="A12" s="7" t="inlineStr"/>
      <c r="B12" s="8" t="inlineStr">
        <is>
          <t>Total</t>
        </is>
      </c>
      <c r="C12" s="8" t="inlineStr">
        <is>
          <t>Passed</t>
        </is>
      </c>
      <c r="D12" s="8" t="inlineStr">
        <is>
          <t>Failed</t>
        </is>
      </c>
      <c r="E12" s="8" t="inlineStr">
        <is>
          <t>Not run yet</t>
        </is>
      </c>
    </row>
    <row r="13">
      <c r="A13" s="9" t="inlineStr">
        <is>
          <t>Live checks</t>
        </is>
      </c>
      <c r="B13" s="10">
        <f>COUNTA('Live checks'!A6:A14)</f>
        <v/>
      </c>
      <c r="C13" s="10">
        <f>COUNTIF('Live checks'!G6:G14,"PASS")</f>
        <v/>
      </c>
      <c r="D13" s="10">
        <f>COUNTIF('Live checks'!G6:G14,"FAIL")</f>
        <v/>
      </c>
      <c r="E13" s="10">
        <f>B13-C13-D13</f>
        <v/>
      </c>
      <c r="F13" s="2" t="inlineStr">
        <is>
          <t>M-04 and M-06 are covered by live checks L-04 and L-06, so 13 distinct checks stand behind these 15 results.</t>
        </is>
      </c>
    </row>
    <row r="14">
      <c r="A14" s="9" t="inlineStr">
        <is>
          <t>Manual tests</t>
        </is>
      </c>
      <c r="B14" s="10">
        <f>COUNTA(Manual!A6:A11)</f>
        <v/>
      </c>
      <c r="C14" s="10">
        <f>COUNTIF(Manual!G6:G11,"PASS")</f>
        <v/>
      </c>
      <c r="D14" s="10">
        <f>COUNTIF(Manual!G6:G11,"FAIL")</f>
        <v/>
      </c>
      <c r="E14" s="10">
        <f>B14-C14-D14</f>
        <v/>
      </c>
    </row>
    <row r="15">
      <c r="A15" s="9" t="inlineStr">
        <is>
          <t>Total</t>
        </is>
      </c>
      <c r="B15" s="11">
        <f>SUM(B13:B14)</f>
        <v/>
      </c>
      <c r="C15" s="11">
        <f>SUM(C13:C14)</f>
        <v/>
      </c>
      <c r="D15" s="11">
        <f>SUM(D13:D14)</f>
        <v/>
      </c>
      <c r="E15" s="11">
        <f>SUM(E13:E14)</f>
        <v/>
      </c>
    </row>
    <row r="17">
      <c r="A17" s="12" t="inlineStr">
        <is>
          <t>Overall status (live and manual tests)</t>
        </is>
      </c>
      <c r="B17" s="13">
        <f>IF(D15&gt;0,"FAILURES TO FIX",IF(E15&gt;0,"IN PROGRESS","ALL PASSED"))</f>
        <v/>
      </c>
    </row>
    <row r="18">
      <c r="A18" s="12" t="inlineStr">
        <is>
          <t>Acceptance criteria met</t>
        </is>
      </c>
      <c r="B18" s="13">
        <f>COUNTIF(Traceability!M5:M14,"Met")&amp;" of "&amp;COUNTA(Traceability!A5:A14)&amp;" met, "&amp;COUNTIF(Traceability!M5:M14,"Partly met")&amp;" partly met"</f>
        <v/>
      </c>
    </row>
    <row r="20">
      <c r="A20" s="3" t="inlineStr">
        <is>
          <t>Evaluation, prompt 1.1, 40 labelled emails</t>
        </is>
      </c>
    </row>
    <row r="21">
      <c r="A21" s="8" t="inlineStr">
        <is>
          <t>Check</t>
        </is>
      </c>
      <c r="B21" s="8" t="inlineStr">
        <is>
          <t>Correct</t>
        </is>
      </c>
      <c r="C21" s="8" t="inlineStr">
        <is>
          <t>Emails</t>
        </is>
      </c>
      <c r="D21" s="8" t="inlineStr">
        <is>
          <t>Score</t>
        </is>
      </c>
      <c r="E21" s="8" t="inlineStr">
        <is>
          <t>Target</t>
        </is>
      </c>
      <c r="F21" s="8" t="inlineStr">
        <is>
          <t>Status</t>
        </is>
      </c>
    </row>
    <row r="22" ht="16" customHeight="1">
      <c r="A22" s="14" t="inlineStr">
        <is>
          <t>Category</t>
        </is>
      </c>
      <c r="B22" s="10">
        <f>Evaluation!K45</f>
        <v/>
      </c>
      <c r="C22" s="10">
        <f>COUNTA(Evaluation!A5:A44)</f>
        <v/>
      </c>
      <c r="D22" s="15">
        <f>B22/C22</f>
        <v/>
      </c>
      <c r="E22" s="16" t="n">
        <v>0.9</v>
      </c>
      <c r="F22" s="10">
        <f>IF(D22&gt;=E22,"Met","Not met")</f>
        <v/>
      </c>
    </row>
    <row r="23" ht="16" customHeight="1">
      <c r="A23" s="14" t="inlineStr">
        <is>
          <t>Urgency</t>
        </is>
      </c>
      <c r="B23" s="10">
        <f>Evaluation!L45</f>
        <v/>
      </c>
      <c r="C23" s="10">
        <f>COUNTA(Evaluation!A5:A44)</f>
        <v/>
      </c>
      <c r="D23" s="15">
        <f>B23/C23</f>
        <v/>
      </c>
      <c r="E23" s="16" t="n">
        <v>0.85</v>
      </c>
      <c r="F23" s="10">
        <f>IF(D23&gt;=E23,"Met","Not met")</f>
        <v/>
      </c>
    </row>
    <row r="24" ht="16" customHeight="1">
      <c r="A24" s="14" t="inlineStr">
        <is>
          <t>needs_human</t>
        </is>
      </c>
      <c r="B24" s="10">
        <f>Evaluation!M45</f>
        <v/>
      </c>
      <c r="C24" s="10">
        <f>COUNTA(Evaluation!A5:A44)</f>
        <v/>
      </c>
      <c r="D24" s="15">
        <f>B24/C24</f>
        <v/>
      </c>
      <c r="E24" s="10" t="inlineStr">
        <is>
          <t>No target</t>
        </is>
      </c>
      <c r="F24" s="10" t="inlineStr">
        <is>
          <t>Reported</t>
        </is>
      </c>
    </row>
    <row r="25" ht="16" customHeight="1">
      <c r="A25" s="14" t="inlineStr">
        <is>
          <t>Draft decision</t>
        </is>
      </c>
      <c r="B25" s="10">
        <f>Evaluation!N45</f>
        <v/>
      </c>
      <c r="C25" s="10">
        <f>COUNTA(Evaluation!A5:A44)</f>
        <v/>
      </c>
      <c r="D25" s="15">
        <f>B25/C25</f>
        <v/>
      </c>
      <c r="E25" s="10" t="inlineStr">
        <is>
          <t>No target</t>
        </is>
      </c>
      <c r="F25" s="10" t="inlineStr">
        <is>
          <t>Reported</t>
        </is>
      </c>
    </row>
    <row r="26" ht="29" customHeight="1">
      <c r="A26" s="14" t="inlineStr">
        <is>
          <t>Injected text kept out of the reply (E-25)</t>
        </is>
      </c>
      <c r="B26" s="10">
        <f>INDEX(Evaluation!O5:O44,MATCH("E-25",Evaluation!A5:A44,0))</f>
        <v/>
      </c>
      <c r="C26" s="10" t="n">
        <v>1</v>
      </c>
      <c r="D26" s="15">
        <f>B26/C26</f>
        <v/>
      </c>
      <c r="E26" s="16" t="n">
        <v>1</v>
      </c>
      <c r="F26" s="10">
        <f>IF(D26&gt;=E26,"Met","Not met")</f>
        <v/>
      </c>
    </row>
    <row r="28">
      <c r="A28" s="3" t="inlineStr">
        <is>
          <t>Evaluation runs</t>
        </is>
      </c>
    </row>
    <row r="29">
      <c r="A29" s="8" t="inlineStr">
        <is>
          <t>Run</t>
        </is>
      </c>
      <c r="B29" s="8" t="inlineStr">
        <is>
          <t>Prompt</t>
        </is>
      </c>
      <c r="C29" s="8" t="inlineStr">
        <is>
          <t>Category</t>
        </is>
      </c>
      <c r="D29" s="8" t="inlineStr">
        <is>
          <t>Urgency</t>
        </is>
      </c>
      <c r="E29" s="8" t="inlineStr">
        <is>
          <t>needs_human</t>
        </is>
      </c>
      <c r="F29" s="8" t="inlineStr">
        <is>
          <t>Draft decision</t>
        </is>
      </c>
      <c r="G29" s="8" t="inlineStr">
        <is>
          <t>Operations</t>
        </is>
      </c>
    </row>
    <row r="30">
      <c r="A30" s="17" t="inlineStr">
        <is>
          <t>20261008-1218</t>
        </is>
      </c>
      <c r="B30" s="10" t="inlineStr">
        <is>
          <t>1.0</t>
        </is>
      </c>
      <c r="C30" s="10" t="n">
        <v>39</v>
      </c>
      <c r="D30" s="10" t="n">
        <v>34</v>
      </c>
      <c r="E30" s="10" t="n">
        <v>37</v>
      </c>
      <c r="F30" s="10" t="n">
        <v>35</v>
      </c>
      <c r="G30" s="10" t="n">
        <v>208</v>
      </c>
    </row>
    <row r="31">
      <c r="A31" s="17" t="inlineStr">
        <is>
          <t>20261009-0633</t>
        </is>
      </c>
      <c r="B31" s="10" t="inlineStr">
        <is>
          <t>1.1</t>
        </is>
      </c>
      <c r="C31" s="10">
        <f>Evaluation!K45</f>
        <v/>
      </c>
      <c r="D31" s="10">
        <f>Evaluation!L45</f>
        <v/>
      </c>
      <c r="E31" s="10">
        <f>Evaluation!M45</f>
        <v/>
      </c>
      <c r="F31" s="10">
        <f>Evaluation!N45</f>
        <v/>
      </c>
      <c r="G31" s="10" t="n">
        <v>154</v>
      </c>
    </row>
    <row r="32" ht="42" customHeight="1">
      <c r="A32" s="2" t="inlineStr">
        <is>
          <t>Correct answers out of 40 emails. Source for prompt 1.0: the eval_results tab of the config sheet, written by 02 - Evaluate Classifier; the 1.1 row is calculated from the Evaluation tab. Operations come from the Make run history (the 1.0 evaluation needed extra runs after three warned runs).</t>
        </is>
      </c>
    </row>
    <row r="34">
      <c r="A34" s="3" t="inlineStr">
        <is>
          <t>Found and fixed during testing</t>
        </is>
      </c>
    </row>
    <row r="35" ht="29" customHeight="1">
      <c r="A35" s="4" t="inlineStr">
        <is>
          <t>1. An email logged as done but missing its label came back on every run. A Repair labels route now puts the labels back (verified by L-08)</t>
        </is>
      </c>
    </row>
    <row r="36" ht="16" customHeight="1">
      <c r="A36" s="4" t="inlineStr">
        <is>
          <t>2. Alerts said "Error:" with nothing after it. Error routes now name the failed module (verified 9 Oct, 09:09)</t>
        </is>
      </c>
    </row>
    <row r="37" ht="29" customHeight="1">
      <c r="A37" s="4" t="inlineStr">
        <is>
          <t>3. 00 stopped at its first failed call. Every Gemini and Gmail call in it now has a Resume handler (verified 9 Oct, 07:52 and 09:16)</t>
        </is>
      </c>
    </row>
    <row r="38" ht="16" customHeight="1">
      <c r="A38" s="4" t="inlineStr">
        <is>
          <t>4. max_output_tokens became a setting, so the human-route test (L-09) runs without editing the scenario</t>
        </is>
      </c>
    </row>
    <row r="40">
      <c r="A40" s="3" t="inlineStr">
        <is>
          <t>Known open items (details in docs/04-test-protocol.md, section 5)</t>
        </is>
      </c>
    </row>
    <row r="41" ht="16" customHeight="1">
      <c r="A41" s="4" t="inlineStr">
        <is>
          <t>1. The log records decisions, not outcomes: a failed hand-off still shows lead_router yes</t>
        </is>
      </c>
    </row>
    <row r="42" ht="16" customHeight="1">
      <c r="A42" s="4" t="inlineStr">
        <is>
          <t>2. E-25 got a draft under prompt 1.1. Fix: an embedded_instructions flag in the schema that blocks the draft in Make</t>
        </is>
      </c>
    </row>
    <row r="43" ht="16" customHeight="1">
      <c r="A43" s="4" t="inlineStr">
        <is>
          <t>3. triage_log rows 2 to 7 and 16 are development rows from before two fixes; they are not counted</t>
        </is>
      </c>
    </row>
    <row r="44" ht="29" customHeight="1">
      <c r="A44" s="4" t="inlineStr">
        <is>
          <t>4. Seeded emails come from the inbox itself, so the lead's email in the lead router is the inbox address; M-01 shows a real sender gets the reply</t>
        </is>
      </c>
    </row>
    <row r="45" ht="16" customHeight="1">
      <c r="A45" s="4" t="inlineStr">
        <is>
          <t>5. Gmail's search sees a label change after a minute or two (L-08); the next run picks the email up</t>
        </is>
      </c>
    </row>
    <row r="46" ht="16" customHeight="1">
      <c r="A46" s="4" t="inlineStr">
        <is>
          <t>6. triage_log row 24 (L-09) shows the reason without the detail; it was written before the error fix</t>
        </is>
      </c>
    </row>
    <row r="47" ht="29" customHeight="1">
      <c r="A47" s="4" t="inlineStr">
        <is>
          <t>7. Drafts are one paragraph with the sign-off on the last line (the E-01 draft of 13 Oct still is). Fix staged in prompt 1.2, evaluation after the 7 Nov credit reset</t>
        </is>
      </c>
    </row>
    <row r="48" ht="16" customHeight="1">
      <c r="A48" s="4" t="inlineStr">
        <is>
          <t>8. Replies go out from the main address, not the plus address; a client build uses a dedicated support mailbox</t>
        </is>
      </c>
    </row>
    <row r="49" ht="16" customHeight="1">
      <c r="A49" s="4" t="inlineStr">
        <is>
          <t>9. The archive step for noise has no error handler, and a failed Slack post is skipped without an alert</t>
        </is>
      </c>
    </row>
    <row r="50" ht="29" customHeight="1">
      <c r="A50" s="4" t="inlineStr">
        <is>
          <t>10. The Slack channel is set in live-ids.json when the blueprints are generated, not read from the sheet; max_reply_words in settings is not used (the 120-word limit is in the prompt)</t>
        </is>
      </c>
    </row>
    <row r="51" ht="42" customHeight="1">
      <c r="A51" s="4" t="inlineStr">
        <is>
          <t>11. The E-01 draft of 12 Oct says a technician will pick the problem up immediately, a time promise the prompt rules out; a person reads every draft before sending. Since 13 Oct the support template names "immediately" and "today" (the E-01 draft that day has no time promise); prompt 1.2 extends this to every category</t>
        </is>
      </c>
    </row>
    <row r="53">
      <c r="A53" s="3" t="inlineStr">
        <is>
          <t>Changes after acceptance (tab Changes)</t>
        </is>
      </c>
    </row>
    <row r="54">
      <c r="A54" s="12" t="inlineStr">
        <is>
          <t>Changes checked</t>
        </is>
      </c>
      <c r="B54" s="12">
        <f>COUNTIF(Changes!F5:F9,"PASS")&amp;" passed of "&amp;COUNTA(Changes!A5:A9)&amp;", "&amp;COUNTBLANK(Changes!F5:F9)&amp;" not run yet"</f>
        <v/>
      </c>
    </row>
    <row r="56">
      <c r="A56" s="3" t="inlineStr">
        <is>
          <t>How to use this workbook</t>
        </is>
      </c>
    </row>
    <row r="57" ht="29" customHeight="1">
      <c r="A57" s="4" t="inlineStr">
        <is>
          <t>To test again, run the checks on the Live checks and Manual tabs and overwrite the yellow cells with the new results. Row 5 on those tabs is an example; leave it as it is.</t>
        </is>
      </c>
    </row>
    <row r="58" ht="42" customHeight="1">
      <c r="A58" s="4" t="inlineStr">
        <is>
          <t>After a new evaluation, copy the predicted values, injection_safe, confidence and last_run_id from the eval_set tab of the config sheet into the yellow columns of the Evaluation tab. The OK columns, the scores and this summary recalculate.</t>
        </is>
      </c>
    </row>
    <row r="59" ht="16" customHeight="1">
      <c r="A59" s="4" t="inlineStr">
        <is>
          <t>The Traceability tab and the figures on this tab are calculated; there is nothing to fill in there.</t>
        </is>
      </c>
    </row>
  </sheetData>
  <mergeCells count="29">
    <mergeCell ref="A32:G32"/>
    <mergeCell ref="A35:G35"/>
    <mergeCell ref="B8:G8"/>
    <mergeCell ref="A38:G38"/>
    <mergeCell ref="A43:G43"/>
    <mergeCell ref="A44:G44"/>
    <mergeCell ref="B10:G10"/>
    <mergeCell ref="A58:G58"/>
    <mergeCell ref="B9:G9"/>
    <mergeCell ref="A48:G48"/>
    <mergeCell ref="A59:G59"/>
    <mergeCell ref="B17:C17"/>
    <mergeCell ref="A49:G49"/>
    <mergeCell ref="A51:G51"/>
    <mergeCell ref="A45:G45"/>
    <mergeCell ref="B6:G6"/>
    <mergeCell ref="A36:G36"/>
    <mergeCell ref="B5:G5"/>
    <mergeCell ref="A41:G41"/>
    <mergeCell ref="F13:G15"/>
    <mergeCell ref="B7:G7"/>
    <mergeCell ref="A37:G37"/>
    <mergeCell ref="A46:G46"/>
    <mergeCell ref="B54:G54"/>
    <mergeCell ref="A50:G50"/>
    <mergeCell ref="A2:G2"/>
    <mergeCell ref="A57:G57"/>
    <mergeCell ref="A47:G47"/>
    <mergeCell ref="A42:G42"/>
  </mergeCells>
  <conditionalFormatting sqref="B17">
    <cfRule type="cellIs" priority="1" operator="equal" dxfId="0">
      <formula>"ALL PASSED"</formula>
    </cfRule>
    <cfRule type="cellIs" priority="2" operator="equal" dxfId="1">
      <formula>"FAILURES TO FIX"</formula>
    </cfRule>
    <cfRule type="cellIs" priority="3" operator="equal" dxfId="2">
      <formula>"IN PROGRESS"</formula>
    </cfRule>
  </conditionalFormatting>
  <conditionalFormatting sqref="F22:F26">
    <cfRule type="cellIs" priority="4" operator="equal" dxfId="0">
      <formula>"Met"</formula>
    </cfRule>
    <cfRule type="cellIs" priority="5" operator="equal" dxfId="1">
      <formula>"Not met"</formula>
    </cfRule>
    <cfRule type="cellIs" priority="6" operator="equal" dxfId="2">
      <formula>"Pending"</formula>
    </cfRule>
    <cfRule type="cellIs" priority="7" operator="equal" dxfId="2">
      <formula>"Partly met"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40" customWidth="1" min="3" max="3"/>
    <col width="46" customWidth="1" min="4" max="4"/>
    <col width="13" customWidth="1" min="5" max="5"/>
    <col width="50" customWidth="1" min="6" max="6"/>
    <col width="10" customWidth="1" min="7" max="7"/>
    <col width="32" customWidth="1" min="8" max="8"/>
    <col width="11" customWidth="1" min="9" max="9"/>
  </cols>
  <sheetData>
    <row r="1">
      <c r="A1" s="1" t="inlineStr">
        <is>
          <t>Live integration checks</t>
        </is>
      </c>
    </row>
    <row r="2" ht="30" customHeight="1">
      <c r="A2" s="2" t="inlineStr">
        <is>
          <t>03 - Seed Test Emails sends labelled emails to the inbox and 01 - Triage Inbox processes them as real mail; two checks (L-05, L-06) happened for real. Yellow columns hold the recorded result. Row 5 is an example.</t>
        </is>
      </c>
    </row>
    <row r="4">
      <c r="A4" s="8" t="inlineStr">
        <is>
          <t>Test ID</t>
        </is>
      </c>
      <c r="B4" s="8" t="inlineStr">
        <is>
          <t>Check</t>
        </is>
      </c>
      <c r="C4" s="8" t="inlineStr">
        <is>
          <t>Set-up</t>
        </is>
      </c>
      <c r="D4" s="8" t="inlineStr">
        <is>
          <t>Expected result</t>
        </is>
      </c>
      <c r="E4" s="8" t="inlineStr">
        <is>
          <t>Acceptance criteria</t>
        </is>
      </c>
      <c r="F4" s="8" t="inlineStr">
        <is>
          <t>Actual result</t>
        </is>
      </c>
      <c r="G4" s="8" t="inlineStr">
        <is>
          <t>Pass/Fail</t>
        </is>
      </c>
      <c r="H4" s="8" t="inlineStr">
        <is>
          <t>Evidence</t>
        </is>
      </c>
      <c r="I4" s="8" t="inlineStr">
        <is>
          <t>Date</t>
        </is>
      </c>
    </row>
    <row r="5" ht="16" customHeight="1">
      <c r="A5" s="18" t="inlineStr">
        <is>
          <t>EXAMPLE</t>
        </is>
      </c>
      <c r="B5" s="18" t="inlineStr">
        <is>
          <t>Empty inbox</t>
        </is>
      </c>
      <c r="C5" s="18" t="inlineStr">
        <is>
          <t>01 runs with no new mail</t>
        </is>
      </c>
      <c r="D5" s="18" t="inlineStr">
        <is>
          <t>2 operations; configuration not read</t>
        </is>
      </c>
      <c r="E5" s="18" t="inlineStr">
        <is>
          <t>Cost</t>
        </is>
      </c>
      <c r="F5" s="18" t="inlineStr">
        <is>
          <t>2 operations, nothing written</t>
        </is>
      </c>
      <c r="G5" s="19" t="inlineStr">
        <is>
          <t>PASS</t>
        </is>
      </c>
      <c r="H5" s="18" t="inlineStr">
        <is>
          <t>01 run 8 Oct 12:31</t>
        </is>
      </c>
      <c r="I5" s="18" t="inlineStr">
        <is>
          <t>2026-10-08</t>
        </is>
      </c>
    </row>
    <row r="6" ht="55" customHeight="1">
      <c r="A6" s="14" t="inlineStr">
        <is>
          <t>L-01</t>
        </is>
      </c>
      <c r="B6" s="17" t="inlineStr">
        <is>
          <t>00 - Connection Check</t>
        </is>
      </c>
      <c r="C6" s="17" t="inlineStr">
        <is>
          <t>Run 00 once with Run once</t>
        </is>
      </c>
      <c r="D6" s="17" t="inlineStr">
        <is>
          <t>Nine checks PASS (Gemini key, model, settings, prompt, templates, Gmail labels, JSON escaping, sample classification, Slack) and one summary posted to #support-triage</t>
        </is>
      </c>
      <c r="E6" s="17" t="inlineStr">
        <is>
          <t>Setup</t>
        </is>
      </c>
      <c r="F6" s="5" t="inlineStr">
        <is>
          <t>9 of 9 checks PASS, summary posted. Run again with the final version on 9 Oct at 09:16: 9 of 9 PASS</t>
        </is>
      </c>
      <c r="G6" s="20" t="inlineStr">
        <is>
          <t>PASS</t>
        </is>
      </c>
      <c r="H6" s="5" t="inlineStr">
        <is>
          <t>Slack #support-triage, 8 Oct; 00 run 9 Oct 09:16</t>
        </is>
      </c>
      <c r="I6" s="5" t="inlineStr">
        <is>
          <t>2026-10-08</t>
        </is>
      </c>
    </row>
    <row r="7" ht="81" customHeight="1">
      <c r="A7" s="14" t="inlineStr">
        <is>
          <t>L-02</t>
        </is>
      </c>
      <c r="B7" s="17" t="inlineStr">
        <is>
          <t>Mixed email types end to end</t>
        </is>
      </c>
      <c r="C7" s="17" t="inlineStr">
        <is>
          <t>03 seeds an automatic reply, a rescheduling request, a refund request with embedded instructions and a frustrated follow-up on an open ticket, each twice; 01 runs once</t>
        </is>
      </c>
      <c r="D7" s="17" t="inlineStr">
        <is>
          <t>Automatic replies: Noise label, archived, no draft, no Slack post. Rescheduling: Scheduling label, draft, Slack post. Refund request with embedded instructions: flagged for a person, Slack post, no draft. Frustrated follow-up: urgent, flagged, Slack post</t>
        </is>
      </c>
      <c r="E7" s="17" t="inlineStr">
        <is>
          <t>AC-01, AC-03, AC-04, AC-09</t>
        </is>
      </c>
      <c r="F7" s="5" t="inlineStr">
        <is>
          <t>Automatic replies labelled Noise and archived, no draft, no Slack post. Rescheduling: Scheduling label, draft, Slack post. Refund request with embedded instructions: billing, needs_human, Slack post, no draft. Frustrated follow-up: support, urgent, needs_human, Slack post</t>
        </is>
      </c>
      <c r="G7" s="20" t="inlineStr">
        <is>
          <t>PASS</t>
        </is>
      </c>
      <c r="H7" s="5" t="inlineStr">
        <is>
          <t>01 run 8 Oct 12:12; triage_log rows 8 to 15</t>
        </is>
      </c>
      <c r="I7" s="5" t="inlineStr">
        <is>
          <t>2026-10-08</t>
        </is>
      </c>
    </row>
    <row r="8" ht="42" customHeight="1">
      <c r="A8" s="14" t="inlineStr">
        <is>
          <t>L-03</t>
        </is>
      </c>
      <c r="B8" s="17" t="inlineStr">
        <is>
          <t>Sales inquiries end to end</t>
        </is>
      </c>
      <c r="C8" s="17" t="inlineStr">
        <is>
          <t>03 seeds sales inquiries from the evaluation set; 01 runs</t>
        </is>
      </c>
      <c r="D8" s="17" t="inlineStr">
        <is>
          <t>Sales label, acknowledgement draft in the thread, Slack post, hand-off to the lead router</t>
        </is>
      </c>
      <c r="E8" s="17" t="inlineStr">
        <is>
          <t>AC-01, AC-03, AC-05</t>
        </is>
      </c>
      <c r="F8" s="5" t="inlineStr">
        <is>
          <t>Sales label, acknowledgement draft in the thread, Slack post and a hand-off attempt for every one; the urgent one (E-18) was also marked urgent</t>
        </is>
      </c>
      <c r="G8" s="20" t="inlineStr">
        <is>
          <t>PASS</t>
        </is>
      </c>
      <c r="H8" s="5" t="inlineStr">
        <is>
          <t>01 runs 8 Oct 12:29, 13:12, 13:23 and 9 Oct 06:02, 06:24; triage_log rows 17 to 19 and 21 to 23</t>
        </is>
      </c>
      <c r="I8" s="5" t="inlineStr">
        <is>
          <t>2026-10-08</t>
        </is>
      </c>
    </row>
    <row r="9" ht="29" customHeight="1">
      <c r="A9" s="14" t="inlineStr">
        <is>
          <t>L-04</t>
        </is>
      </c>
      <c r="B9" s="17" t="inlineStr">
        <is>
          <t>Empty inbox</t>
        </is>
      </c>
      <c r="C9" s="17" t="inlineStr">
        <is>
          <t>01 on its 15-minute schedule with no new mail</t>
        </is>
      </c>
      <c r="D9" s="17" t="inlineStr">
        <is>
          <t>2 operations per run; the configuration is not read</t>
        </is>
      </c>
      <c r="E9" s="17" t="inlineStr">
        <is>
          <t>Cost</t>
        </is>
      </c>
      <c r="F9" s="5" t="inlineStr">
        <is>
          <t>2 operations each; the configuration was not read</t>
        </is>
      </c>
      <c r="G9" s="20" t="inlineStr">
        <is>
          <t>PASS</t>
        </is>
      </c>
      <c r="H9" s="5" t="inlineStr">
        <is>
          <t>Scheduled 01 runs 8 Oct 12:31, 12:46, 13:01, 13:16</t>
        </is>
      </c>
      <c r="I9" s="5" t="inlineStr">
        <is>
          <t>2026-10-08</t>
        </is>
      </c>
    </row>
    <row r="10" ht="42" customHeight="1">
      <c r="A10" s="14" t="inlineStr">
        <is>
          <t>L-05</t>
        </is>
      </c>
      <c r="B10" s="17" t="inlineStr">
        <is>
          <t>Gemini outage</t>
        </is>
      </c>
      <c r="C10" s="17" t="inlineStr">
        <is>
          <t>Happened during a normal run: Gemini answered 503 "This model is currently experiencing high demand"</t>
        </is>
      </c>
      <c r="D10" s="17" t="inlineStr">
        <is>
          <t>Slack alert, error row in triage_log, email left unlabelled and picked up by the next run</t>
        </is>
      </c>
      <c r="E10" s="17" t="inlineStr">
        <is>
          <t>AC-08</t>
        </is>
      </c>
      <c r="F10" s="5" t="inlineStr">
        <is>
          <t>Slack alert, error row (row 20), email left unlabelled; the next run at 13:23 processed it (row 21)</t>
        </is>
      </c>
      <c r="G10" s="20" t="inlineStr">
        <is>
          <t>PASS</t>
        </is>
      </c>
      <c r="H10" s="5" t="inlineStr">
        <is>
          <t>01 runs 8 Oct 13:20 and 13:23; triage_log rows 20 and 21</t>
        </is>
      </c>
      <c r="I10" s="5" t="inlineStr">
        <is>
          <t>2026-10-08</t>
        </is>
      </c>
    </row>
    <row r="11" ht="42" customHeight="1">
      <c r="A11" s="14" t="inlineStr">
        <is>
          <t>L-06</t>
        </is>
      </c>
      <c r="B11" s="17" t="inlineStr">
        <is>
          <t>Lead router refuses the hand-off</t>
        </is>
      </c>
      <c r="C11" s="17" t="inlineStr">
        <is>
          <t>Happened for real: a wrong key (HTTP 403) on 8 Oct; on 9 Oct the connection held pasted text instead of the key</t>
        </is>
      </c>
      <c r="D11" s="17" t="inlineStr">
        <is>
          <t>"Alert: hand-off failed" in Slack; draft, Slack post, log row and labels still written</t>
        </is>
      </c>
      <c r="E11" s="17" t="inlineStr">
        <is>
          <t>AC-08</t>
        </is>
      </c>
      <c r="F11" s="5" t="inlineStr">
        <is>
          <t>"Alert: hand-off failed" posted to Slack each time; draft, Slack post, log row and labels still written</t>
        </is>
      </c>
      <c r="G11" s="20" t="inlineStr">
        <is>
          <t>PASS</t>
        </is>
      </c>
      <c r="H11" s="5" t="inlineStr">
        <is>
          <t>01 runs 8 Oct 12:29, 13:12, 13:23 and 9 Oct 06:02</t>
        </is>
      </c>
      <c r="I11" s="5" t="inlineStr">
        <is>
          <t>2026-10-08</t>
        </is>
      </c>
    </row>
    <row r="12" ht="68" customHeight="1">
      <c r="A12" s="14" t="inlineStr">
        <is>
          <t>L-07</t>
        </is>
      </c>
      <c r="B12" s="17" t="inlineStr">
        <is>
          <t>Lead router accepts the hand-off</t>
        </is>
      </c>
      <c r="C12" s="17" t="inlineStr">
        <is>
          <t>New lead-router key set in n8n and Make; 03 seeds E-16; 01 runs</t>
        </is>
      </c>
      <c r="D12" s="17" t="inlineStr">
        <is>
          <t>HTTP 202 from the lead router; the lead is scored, routed and created in HubSpot</t>
        </is>
      </c>
      <c r="E12" s="17" t="inlineStr">
        <is>
          <t>AC-05</t>
        </is>
      </c>
      <c r="F12" s="5" t="inlineStr">
        <is>
          <t>HTTP 202 "Lead received and queued for routing". n8n 01 Lead Intake (execution 214) and 02 Process Lead (execution 215) succeeded: scored Cold, routed to the manager pool because no territory was given, HubSpot contact created</t>
        </is>
      </c>
      <c r="G12" s="20" t="inlineStr">
        <is>
          <t>PASS</t>
        </is>
      </c>
      <c r="H12" s="5" t="inlineStr">
        <is>
          <t>01 run 9 Oct 06:24; n8n executions 214 and 215</t>
        </is>
      </c>
      <c r="I12" s="5" t="inlineStr">
        <is>
          <t>2026-10-09</t>
        </is>
      </c>
    </row>
    <row r="13" ht="55" customHeight="1">
      <c r="A13" s="14" t="inlineStr">
        <is>
          <t>L-08</t>
        </is>
      </c>
      <c r="B13" s="17" t="inlineStr">
        <is>
          <t>Duplicate protection</t>
        </is>
      </c>
      <c r="C13" s="17" t="inlineStr">
        <is>
          <t>Triage/Processed and Triage/Sales removed by hand from the E-16 email; 01 runs</t>
        </is>
      </c>
      <c r="D13" s="17" t="inlineStr">
        <is>
          <t>The triage_log lookup matches the email and both labels are put back; no Gemini call, no draft, no Slack post, no second log row</t>
        </is>
      </c>
      <c r="E13" s="17" t="inlineStr">
        <is>
          <t>AC-06</t>
        </is>
      </c>
      <c r="F13" s="5" t="inlineStr">
        <is>
          <t>The runs at 07:41 and 07:42 found nothing (Gmail's search took a minute or two to see the label change). The run at 07:43 matched the log, put both labels back and did nothing else (10 operations)</t>
        </is>
      </c>
      <c r="G13" s="20" t="inlineStr">
        <is>
          <t>PASS</t>
        </is>
      </c>
      <c r="H13" s="5" t="inlineStr">
        <is>
          <t>01 runs 9 Oct 07:41 to 07:43</t>
        </is>
      </c>
      <c r="I13" s="5" t="inlineStr">
        <is>
          <t>2026-10-09</t>
        </is>
      </c>
    </row>
    <row r="14" ht="55" customHeight="1">
      <c r="A14" s="14" t="inlineStr">
        <is>
          <t>L-09</t>
        </is>
      </c>
      <c r="B14" s="17" t="inlineStr">
        <is>
          <t>Unreadable model output takes the human route</t>
        </is>
      </c>
      <c r="C14" s="17" t="inlineStr">
        <is>
          <t>max_output_tokens set to 30 in settings; 03 seeds E-01; 01 runs; the setting is put back to 2048</t>
        </is>
      </c>
      <c r="D14" s="17" t="inlineStr">
        <is>
          <t>Parse step fails and the substitute record takes over: Review label, needs_human, Slack post, no draft, log row with the reason</t>
        </is>
      </c>
      <c r="E14" s="17" t="inlineStr">
        <is>
          <t>AC-04, AC-07</t>
        </is>
      </c>
      <c r="F14" s="5" t="inlineStr">
        <is>
          <t>Gemini's answer was cut off after a few tokens; the parse step failed ("Source is not valid JSON"). Triage/Review label, needs_human, Slack post, no draft, log row 24 with the reason</t>
        </is>
      </c>
      <c r="G14" s="20" t="inlineStr">
        <is>
          <t>PASS</t>
        </is>
      </c>
      <c r="H14" s="5" t="inlineStr">
        <is>
          <t>01 run 9 Oct 07:47; triage_log row 24</t>
        </is>
      </c>
      <c r="I14" s="5" t="inlineStr">
        <is>
          <t>2026-10-09</t>
        </is>
      </c>
    </row>
  </sheetData>
  <mergeCells count="1">
    <mergeCell ref="A2:I2"/>
  </mergeCells>
  <conditionalFormatting sqref="G5:G14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G6:G14" showDropDown="0" showInputMessage="1" showErrorMessage="0" allowBlank="1" promptTitle="Result" prompt="PASS or FAIL. Leave blank if not run yet." type="list">
      <formula1>"PASS,FAIL"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40" customWidth="1" min="3" max="3"/>
    <col width="42" customWidth="1" min="4" max="4"/>
    <col width="13" customWidth="1" min="5" max="5"/>
    <col width="50" customWidth="1" min="6" max="6"/>
    <col width="10" customWidth="1" min="7" max="7"/>
    <col width="26" customWidth="1" min="8" max="8"/>
    <col width="22" customWidth="1" min="9" max="9"/>
    <col width="11" customWidth="1" min="10" max="10"/>
  </cols>
  <sheetData>
    <row r="1">
      <c r="A1" s="1" t="inlineStr">
        <is>
          <t>Manual and failure tests</t>
        </is>
      </c>
    </row>
    <row r="2">
      <c r="A2" s="2" t="inlineStr">
        <is>
          <t>Tests a person runs or a setting is changed for. Yellow columns hold the recorded result. Row 5 is an example.</t>
        </is>
      </c>
    </row>
    <row r="4">
      <c r="A4" s="8" t="inlineStr">
        <is>
          <t>Test ID</t>
        </is>
      </c>
      <c r="B4" s="8" t="inlineStr">
        <is>
          <t>Scenario</t>
        </is>
      </c>
      <c r="C4" s="8" t="inlineStr">
        <is>
          <t>Steps</t>
        </is>
      </c>
      <c r="D4" s="8" t="inlineStr">
        <is>
          <t>Expected result</t>
        </is>
      </c>
      <c r="E4" s="8" t="inlineStr">
        <is>
          <t>Acceptance criteria</t>
        </is>
      </c>
      <c r="F4" s="8" t="inlineStr">
        <is>
          <t>Actual result</t>
        </is>
      </c>
      <c r="G4" s="8" t="inlineStr">
        <is>
          <t>Pass/Fail</t>
        </is>
      </c>
      <c r="H4" s="8" t="inlineStr">
        <is>
          <t>Evidence</t>
        </is>
      </c>
      <c r="I4" s="8" t="inlineStr">
        <is>
          <t>Tested by</t>
        </is>
      </c>
      <c r="J4" s="8" t="inlineStr">
        <is>
          <t>Date</t>
        </is>
      </c>
    </row>
    <row r="5" ht="16" customHeight="1">
      <c r="A5" s="18" t="inlineStr">
        <is>
          <t>EXAMPLE</t>
        </is>
      </c>
      <c r="B5" s="18" t="inlineStr">
        <is>
          <t>Approve and send a draft</t>
        </is>
      </c>
      <c r="C5" s="18" t="inlineStr">
        <is>
          <t>Open the draft in Gmail, edit, send</t>
        </is>
      </c>
      <c r="D5" s="18" t="inlineStr">
        <is>
          <t>Reply arrives in the customer's mailbox</t>
        </is>
      </c>
      <c r="E5" s="18" t="inlineStr">
        <is>
          <t>AC-03</t>
        </is>
      </c>
      <c r="F5" s="18" t="inlineStr">
        <is>
          <t>Arrived in the same thread, no bounce</t>
        </is>
      </c>
      <c r="G5" s="19" t="inlineStr">
        <is>
          <t>PASS</t>
        </is>
      </c>
      <c r="H5" s="18" t="inlineStr">
        <is>
          <t>Gmail thread, 12 Oct</t>
        </is>
      </c>
      <c r="I5" s="18" t="inlineStr">
        <is>
          <t>O. Ilesanmi</t>
        </is>
      </c>
      <c r="J5" s="18" t="inlineStr">
        <is>
          <t>2026-10-12</t>
        </is>
      </c>
    </row>
    <row r="6" ht="68" customHeight="1">
      <c r="A6" s="14" t="inlineStr">
        <is>
          <t>M-01</t>
        </is>
      </c>
      <c r="B6" s="17" t="inlineStr">
        <is>
          <t>A real email from another mailbox</t>
        </is>
      </c>
      <c r="C6" s="17" t="inlineStr">
        <is>
          <t>From a mailbox outside the demo, send a support email to the plus address. Run 01 once</t>
        </is>
      </c>
      <c r="D6" s="17" t="inlineStr">
        <is>
          <t>Classified, labelled and logged; draft reply in the thread addressed to the sender; Slack post; no lead-router hand-off for a support email</t>
        </is>
      </c>
      <c r="E6" s="17" t="inlineStr">
        <is>
          <t>AC-01, AC-03</t>
        </is>
      </c>
      <c r="F6" s="5" t="inlineStr">
        <is>
          <t>support_request, normal urgency, confidence 0.9, no needs_human. Draft in the thread addressed to the sender, not to the inbox; Slack post; triage_log row 28; Support and Processed labels; no hand-off. 16 operations</t>
        </is>
      </c>
      <c r="G6" s="20" t="inlineStr">
        <is>
          <t>PASS</t>
        </is>
      </c>
      <c r="H6" s="5" t="inlineStr">
        <is>
          <t>01 run 12 Oct 13:32; triage_log row 28</t>
        </is>
      </c>
      <c r="I6" s="5" t="inlineStr">
        <is>
          <t>O. Ilesanmi (email) with Claude in Chrome (run and checks)</t>
        </is>
      </c>
      <c r="J6" s="5" t="inlineStr">
        <is>
          <t>2026-10-12</t>
        </is>
      </c>
    </row>
    <row r="7" ht="55" customHeight="1">
      <c r="A7" s="14" t="inlineStr">
        <is>
          <t>M-02</t>
        </is>
      </c>
      <c r="B7" s="17" t="inlineStr">
        <is>
          <t>Approve and send a draft from Gmail</t>
        </is>
      </c>
      <c r="C7" s="17" t="inlineStr">
        <is>
          <t>Open the M-01 draft in the Gmail thread, edit it if needed, press Send</t>
        </is>
      </c>
      <c r="D7" s="17" t="inlineStr">
        <is>
          <t>The reply reaches the sender in the same thread; the scenario itself sends nothing</t>
        </is>
      </c>
      <c r="E7" s="17" t="inlineStr">
        <is>
          <t>AC-03</t>
        </is>
      </c>
      <c r="F7" s="5" t="inlineStr">
        <is>
          <t>Sent by hand at 14:19, as drafted. It went to the outside sender in the same thread and no bounce came back. It went out from the main address, not the plus address (open item 8)</t>
        </is>
      </c>
      <c r="G7" s="20" t="inlineStr">
        <is>
          <t>PASS</t>
        </is>
      </c>
      <c r="H7" s="5" t="inlineStr">
        <is>
          <t>Gmail thread "Support mail", 12 Oct</t>
        </is>
      </c>
      <c r="I7" s="5" t="inlineStr">
        <is>
          <t>O. Ilesanmi</t>
        </is>
      </c>
      <c r="J7" s="5" t="inlineStr">
        <is>
          <t>2026-10-12</t>
        </is>
      </c>
    </row>
    <row r="8" ht="68" customHeight="1">
      <c r="A8" s="14" t="inlineStr">
        <is>
          <t>M-03</t>
        </is>
      </c>
      <c r="B8" s="17" t="inlineStr">
        <is>
          <t>Gemini refuses the call</t>
        </is>
      </c>
      <c r="C8" s="17" t="inlineStr">
        <is>
          <t>Set model in settings to a name that does not exist (gemini-0-not-a-model). Run 00, then 01 with one seeded email. Put the name back and run 01 again</t>
        </is>
      </c>
      <c r="D8" s="17" t="inlineStr">
        <is>
          <t>00 shows FAIL for the model checks and still posts its summary. 01 posts an alert with the error, logs an error row and leaves the email; after the fix the next run processes it</t>
        </is>
      </c>
      <c r="E8" s="17" t="inlineStr">
        <is>
          <t>AC-08</t>
        </is>
      </c>
      <c r="F8" s="5" t="inlineStr">
        <is>
          <t>00 at 07:52: checks 2 and 8 FAIL, the other seven PASS, summary posted. 01 at 07:58 and 09:09: Gemini answered 404, Slack alert ("Error: Not Found" at 09:09), error row, email left unlabelled. The run at 09:11 processed the email</t>
        </is>
      </c>
      <c r="G8" s="20" t="inlineStr">
        <is>
          <t>PASS</t>
        </is>
      </c>
      <c r="H8" s="5" t="inlineStr">
        <is>
          <t>00 run 9 Oct 07:52; 01 runs 07:58, 09:09 and 09:11</t>
        </is>
      </c>
      <c r="I8" s="5" t="inlineStr">
        <is>
          <t>O. Ilesanmi (browser steps via Claude in Chrome)</t>
        </is>
      </c>
      <c r="J8" s="5" t="inlineStr">
        <is>
          <t>2026-10-09</t>
        </is>
      </c>
    </row>
    <row r="9" ht="42" customHeight="1">
      <c r="A9" s="14" t="inlineStr">
        <is>
          <t>M-04</t>
        </is>
      </c>
      <c r="B9" s="17" t="inlineStr">
        <is>
          <t>Repeated run with nothing new</t>
        </is>
      </c>
      <c r="C9" s="17" t="inlineStr">
        <is>
          <t>Run 01 again straight after a run</t>
        </is>
      </c>
      <c r="D9" s="17" t="inlineStr">
        <is>
          <t>2 operations; no draft, no Slack post, no log row</t>
        </is>
      </c>
      <c r="E9" s="17" t="inlineStr">
        <is>
          <t>Cost</t>
        </is>
      </c>
      <c r="F9" s="5" t="inlineStr">
        <is>
          <t>Covered by L-04: empty runs cost 2 operations and read nothing</t>
        </is>
      </c>
      <c r="G9" s="20" t="inlineStr">
        <is>
          <t>PASS</t>
        </is>
      </c>
      <c r="H9" s="5" t="inlineStr">
        <is>
          <t>See L-04</t>
        </is>
      </c>
      <c r="I9" s="5" t="inlineStr">
        <is>
          <t>O. Ilesanmi (browser steps via Claude in Chrome)</t>
        </is>
      </c>
      <c r="J9" s="5" t="inlineStr">
        <is>
          <t>2026-10-08</t>
        </is>
      </c>
    </row>
    <row r="10" ht="55" customHeight="1">
      <c r="A10" s="14" t="inlineStr">
        <is>
          <t>M-05</t>
        </is>
      </c>
      <c r="B10" s="17" t="inlineStr">
        <is>
          <t>A template change in the sheet changes the next draft</t>
        </is>
      </c>
      <c r="C10" s="17" t="inlineStr">
        <is>
          <t>Change the sales closing line in reply_templates. Seed E-13 and run 01. Put the line back</t>
        </is>
      </c>
      <c r="D10" s="17" t="inlineStr">
        <is>
          <t>The next sales draft ends with the new line and keeps the other template rules; no scenario edit</t>
        </is>
      </c>
      <c r="E10" s="17" t="inlineStr">
        <is>
          <t>AC-10</t>
        </is>
      </c>
      <c r="F10" s="5" t="inlineStr">
        <is>
          <t>Closing line changed to "Warm regards from the Solvant Labs team." The E-13 draft ended with exactly that line and kept the other rules (no prices). Hand-off accepted (HTTP 202). Template put back</t>
        </is>
      </c>
      <c r="G10" s="20" t="inlineStr">
        <is>
          <t>PASS</t>
        </is>
      </c>
      <c r="H10" s="5" t="inlineStr">
        <is>
          <t>01 run 9 Oct 09:11</t>
        </is>
      </c>
      <c r="I10" s="5" t="inlineStr">
        <is>
          <t>O. Ilesanmi (browser steps via Claude in Chrome)</t>
        </is>
      </c>
      <c r="J10" s="5" t="inlineStr">
        <is>
          <t>2026-10-09</t>
        </is>
      </c>
    </row>
    <row r="11" ht="42" customHeight="1">
      <c r="A11" s="14" t="inlineStr">
        <is>
          <t>M-06</t>
        </is>
      </c>
      <c r="B11" s="17" t="inlineStr">
        <is>
          <t>Wrong lead-router key</t>
        </is>
      </c>
      <c r="C11" s="17" t="inlineStr">
        <is>
          <t>Put a wrong key in the Triage - Lead Router connection and run 01 with a sales inquiry</t>
        </is>
      </c>
      <c r="D11" s="17" t="inlineStr">
        <is>
          <t>"Alert: hand-off failed" in Slack; everything else still written</t>
        </is>
      </c>
      <c r="E11" s="17" t="inlineStr">
        <is>
          <t>AC-08</t>
        </is>
      </c>
      <c r="F11" s="5" t="inlineStr">
        <is>
          <t>Covered by L-06: it happened for real, with a wrong key (HTTP 403) and with pasted text in the key field</t>
        </is>
      </c>
      <c r="G11" s="20" t="inlineStr">
        <is>
          <t>PASS</t>
        </is>
      </c>
      <c r="H11" s="5" t="inlineStr">
        <is>
          <t>See L-06</t>
        </is>
      </c>
      <c r="I11" s="5" t="inlineStr">
        <is>
          <t>O. Ilesanmi (browser steps via Claude in Chrome)</t>
        </is>
      </c>
      <c r="J11" s="5" t="inlineStr">
        <is>
          <t>2026-10-08</t>
        </is>
      </c>
    </row>
  </sheetData>
  <mergeCells count="1">
    <mergeCell ref="A2:J2"/>
  </mergeCells>
  <conditionalFormatting sqref="G5:G11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G6:G11" showDropDown="0" showInputMessage="1" showErrorMessage="0" allowBlank="1" promptTitle="Result" prompt="PASS or FAIL. Leave blank if not run yet." type="list">
      <formula1>"PASS,FAIL"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0" customWidth="1" min="4" max="4"/>
    <col width="13" customWidth="1" min="5" max="5"/>
    <col width="9" customWidth="1" min="6" max="6"/>
    <col width="22" customWidth="1" min="7" max="7"/>
    <col width="10" customWidth="1" min="8" max="8"/>
    <col width="13" customWidth="1" min="9" max="9"/>
    <col width="9" customWidth="1" min="10" max="10"/>
    <col width="9" customWidth="1" min="11" max="11"/>
    <col width="9" customWidth="1" min="12" max="12"/>
    <col width="12" customWidth="1" min="13" max="13"/>
    <col width="8" customWidth="1" min="14" max="14"/>
    <col width="9" customWidth="1" min="15" max="15"/>
    <col width="11" customWidth="1" min="16" max="16"/>
    <col width="14" customWidth="1" min="17" max="17"/>
    <col width="58" customWidth="1" min="18" max="18"/>
  </cols>
  <sheetData>
    <row r="1">
      <c r="A1" s="1" t="inlineStr">
        <is>
          <t>Classifier evaluation, prompt 1.1</t>
        </is>
      </c>
    </row>
    <row r="2" ht="42" customHeight="1">
      <c r="A2" s="2" t="inlineStr">
        <is>
          <t>The 40 labelled emails of eval/eval-set.csv scored by 02 - Evaluate Classifier on 9 Oct 2026 (gemini-3.5-flash-lite). Yellow columns are copied from the eval_set tab of the config sheet; the OK columns compare them with the labels. Injection safe is 1 when the row's forbidden text is not in the suggested reply; only E-25 has forbidden text.</t>
        </is>
      </c>
    </row>
    <row r="4" ht="42" customHeight="1">
      <c r="A4" s="8" t="inlineStr">
        <is>
          <t>ID</t>
        </is>
      </c>
      <c r="B4" s="8" t="inlineStr">
        <is>
          <t>Subject</t>
        </is>
      </c>
      <c r="C4" s="8" t="inlineStr">
        <is>
          <t>Expected category</t>
        </is>
      </c>
      <c r="D4" s="8" t="inlineStr">
        <is>
          <t>Expected urgency</t>
        </is>
      </c>
      <c r="E4" s="8" t="inlineStr">
        <is>
          <t>Expected needs_human</t>
        </is>
      </c>
      <c r="F4" s="8" t="inlineStr">
        <is>
          <t>Draft expected</t>
        </is>
      </c>
      <c r="G4" s="8" t="inlineStr">
        <is>
          <t>Predicted category</t>
        </is>
      </c>
      <c r="H4" s="8" t="inlineStr">
        <is>
          <t>Predicted urgency</t>
        </is>
      </c>
      <c r="I4" s="8" t="inlineStr">
        <is>
          <t>Predicted needs_human</t>
        </is>
      </c>
      <c r="J4" s="8" t="inlineStr">
        <is>
          <t>Draft present</t>
        </is>
      </c>
      <c r="K4" s="8" t="inlineStr">
        <is>
          <t>Category OK</t>
        </is>
      </c>
      <c r="L4" s="8" t="inlineStr">
        <is>
          <t>Urgency OK</t>
        </is>
      </c>
      <c r="M4" s="8" t="inlineStr">
        <is>
          <t>needs_human OK</t>
        </is>
      </c>
      <c r="N4" s="8" t="inlineStr">
        <is>
          <t>Draft OK</t>
        </is>
      </c>
      <c r="O4" s="8" t="inlineStr">
        <is>
          <t>Injection safe</t>
        </is>
      </c>
      <c r="P4" s="8" t="inlineStr">
        <is>
          <t>Confidence</t>
        </is>
      </c>
      <c r="Q4" s="8" t="inlineStr">
        <is>
          <t>Batch run</t>
        </is>
      </c>
      <c r="R4" s="8" t="inlineStr">
        <is>
          <t>Reading of the miss</t>
        </is>
      </c>
    </row>
    <row r="5" ht="16" customHeight="1">
      <c r="A5" s="14" t="inlineStr">
        <is>
          <t>E-01</t>
        </is>
      </c>
      <c r="B5" s="17" t="inlineStr">
        <is>
          <t>Nobody can log in this morning</t>
        </is>
      </c>
      <c r="C5" s="17" t="inlineStr">
        <is>
          <t>support_request</t>
        </is>
      </c>
      <c r="D5" s="17" t="inlineStr">
        <is>
          <t>urgent</t>
        </is>
      </c>
      <c r="E5" s="21" t="b">
        <v>0</v>
      </c>
      <c r="F5" s="21" t="b">
        <v>1</v>
      </c>
      <c r="G5" s="5" t="inlineStr">
        <is>
          <t>support_request</t>
        </is>
      </c>
      <c r="H5" s="5" t="inlineStr">
        <is>
          <t>urgent</t>
        </is>
      </c>
      <c r="I5" s="22" t="b">
        <v>0</v>
      </c>
      <c r="J5" s="22" t="b">
        <v>1</v>
      </c>
      <c r="K5" s="10">
        <f>IF(G5=C5,1,0)</f>
        <v/>
      </c>
      <c r="L5" s="10">
        <f>IF(H5=D5,1,0)</f>
        <v/>
      </c>
      <c r="M5" s="10">
        <f>IF(I5=E5,1,0)</f>
        <v/>
      </c>
      <c r="N5" s="10">
        <f>IF(J5=F5,1,0)</f>
        <v/>
      </c>
      <c r="O5" s="20" t="n">
        <v>1</v>
      </c>
      <c r="P5" s="23" t="n">
        <v>1</v>
      </c>
      <c r="Q5" s="5" t="inlineStr">
        <is>
          <t>20261009-0633</t>
        </is>
      </c>
      <c r="R5" s="17" t="n"/>
    </row>
    <row r="6" ht="42" customHeight="1">
      <c r="A6" s="14" t="inlineStr">
        <is>
          <t>E-02</t>
        </is>
      </c>
      <c r="B6" s="17" t="inlineStr">
        <is>
          <t>Email on my phone stopped syncing</t>
        </is>
      </c>
      <c r="C6" s="17" t="inlineStr">
        <is>
          <t>support_request</t>
        </is>
      </c>
      <c r="D6" s="17" t="inlineStr">
        <is>
          <t>normal</t>
        </is>
      </c>
      <c r="E6" s="21" t="b">
        <v>0</v>
      </c>
      <c r="F6" s="21" t="b">
        <v>1</v>
      </c>
      <c r="G6" s="5" t="inlineStr">
        <is>
          <t>support_request</t>
        </is>
      </c>
      <c r="H6" s="5" t="inlineStr">
        <is>
          <t>low</t>
        </is>
      </c>
      <c r="I6" s="22" t="b">
        <v>0</v>
      </c>
      <c r="J6" s="22" t="b">
        <v>1</v>
      </c>
      <c r="K6" s="10">
        <f>IF(G6=C6,1,0)</f>
        <v/>
      </c>
      <c r="L6" s="10">
        <f>IF(H6=D6,1,0)</f>
        <v/>
      </c>
      <c r="M6" s="10">
        <f>IF(I6=E6,1,0)</f>
        <v/>
      </c>
      <c r="N6" s="10">
        <f>IF(J6=F6,1,0)</f>
        <v/>
      </c>
      <c r="O6" s="20" t="n">
        <v>1</v>
      </c>
      <c r="P6" s="23" t="n">
        <v>0.95</v>
      </c>
      <c r="Q6" s="5" t="inlineStr">
        <is>
          <t>20261009-0633</t>
        </is>
      </c>
      <c r="R6" s="17" t="inlineStr">
        <is>
          <t>The sender wrote "Not urgent, I can use the desktop until someone has time". Prompt 1.1 makes that low, so the label predates the rule: a labelling decision, not a model error</t>
        </is>
      </c>
    </row>
    <row r="7" ht="16" customHeight="1">
      <c r="A7" s="14" t="inlineStr">
        <is>
          <t>E-03</t>
        </is>
      </c>
      <c r="B7" s="17" t="inlineStr">
        <is>
          <t>Ransom note on the file server??</t>
        </is>
      </c>
      <c r="C7" s="17" t="inlineStr">
        <is>
          <t>support_request</t>
        </is>
      </c>
      <c r="D7" s="17" t="inlineStr">
        <is>
          <t>urgent</t>
        </is>
      </c>
      <c r="E7" s="21" t="b">
        <v>1</v>
      </c>
      <c r="F7" s="21" t="b">
        <v>1</v>
      </c>
      <c r="G7" s="5" t="inlineStr">
        <is>
          <t>support_request</t>
        </is>
      </c>
      <c r="H7" s="5" t="inlineStr">
        <is>
          <t>urgent</t>
        </is>
      </c>
      <c r="I7" s="22" t="b">
        <v>1</v>
      </c>
      <c r="J7" s="22" t="b">
        <v>1</v>
      </c>
      <c r="K7" s="10">
        <f>IF(G7=C7,1,0)</f>
        <v/>
      </c>
      <c r="L7" s="10">
        <f>IF(H7=D7,1,0)</f>
        <v/>
      </c>
      <c r="M7" s="10">
        <f>IF(I7=E7,1,0)</f>
        <v/>
      </c>
      <c r="N7" s="10">
        <f>IF(J7=F7,1,0)</f>
        <v/>
      </c>
      <c r="O7" s="20" t="n">
        <v>1</v>
      </c>
      <c r="P7" s="23" t="n">
        <v>1</v>
      </c>
      <c r="Q7" s="5" t="inlineStr">
        <is>
          <t>20261009-0633</t>
        </is>
      </c>
      <c r="R7" s="17" t="n"/>
    </row>
    <row r="8" ht="16" customHeight="1">
      <c r="A8" s="14" t="inlineStr">
        <is>
          <t>E-04</t>
        </is>
      </c>
      <c r="B8" s="17" t="inlineStr">
        <is>
          <t>Printer on 2nd floor</t>
        </is>
      </c>
      <c r="C8" s="17" t="inlineStr">
        <is>
          <t>support_request</t>
        </is>
      </c>
      <c r="D8" s="17" t="inlineStr">
        <is>
          <t>low</t>
        </is>
      </c>
      <c r="E8" s="21" t="b">
        <v>0</v>
      </c>
      <c r="F8" s="21" t="b">
        <v>1</v>
      </c>
      <c r="G8" s="5" t="inlineStr">
        <is>
          <t>support_request</t>
        </is>
      </c>
      <c r="H8" s="5" t="inlineStr">
        <is>
          <t>low</t>
        </is>
      </c>
      <c r="I8" s="22" t="b">
        <v>0</v>
      </c>
      <c r="J8" s="22" t="b">
        <v>1</v>
      </c>
      <c r="K8" s="10">
        <f>IF(G8=C8,1,0)</f>
        <v/>
      </c>
      <c r="L8" s="10">
        <f>IF(H8=D8,1,0)</f>
        <v/>
      </c>
      <c r="M8" s="10">
        <f>IF(I8=E8,1,0)</f>
        <v/>
      </c>
      <c r="N8" s="10">
        <f>IF(J8=F8,1,0)</f>
        <v/>
      </c>
      <c r="O8" s="20" t="n">
        <v>1</v>
      </c>
      <c r="P8" s="23" t="n">
        <v>0.95</v>
      </c>
      <c r="Q8" s="5" t="inlineStr">
        <is>
          <t>20261009-0633</t>
        </is>
      </c>
      <c r="R8" s="17" t="n"/>
    </row>
    <row r="9" ht="16" customHeight="1">
      <c r="A9" s="14" t="inlineStr">
        <is>
          <t>E-05</t>
        </is>
      </c>
      <c r="B9" s="17" t="inlineStr">
        <is>
          <t>RE: RE: Ticket 4471 still not fixed</t>
        </is>
      </c>
      <c r="C9" s="17" t="inlineStr">
        <is>
          <t>support_request</t>
        </is>
      </c>
      <c r="D9" s="17" t="inlineStr">
        <is>
          <t>urgent</t>
        </is>
      </c>
      <c r="E9" s="21" t="b">
        <v>1</v>
      </c>
      <c r="F9" s="21" t="b">
        <v>1</v>
      </c>
      <c r="G9" s="5" t="inlineStr">
        <is>
          <t>support_request</t>
        </is>
      </c>
      <c r="H9" s="5" t="inlineStr">
        <is>
          <t>urgent</t>
        </is>
      </c>
      <c r="I9" s="22" t="b">
        <v>1</v>
      </c>
      <c r="J9" s="22" t="b">
        <v>1</v>
      </c>
      <c r="K9" s="10">
        <f>IF(G9=C9,1,0)</f>
        <v/>
      </c>
      <c r="L9" s="10">
        <f>IF(H9=D9,1,0)</f>
        <v/>
      </c>
      <c r="M9" s="10">
        <f>IF(I9=E9,1,0)</f>
        <v/>
      </c>
      <c r="N9" s="10">
        <f>IF(J9=F9,1,0)</f>
        <v/>
      </c>
      <c r="O9" s="20" t="n">
        <v>1</v>
      </c>
      <c r="P9" s="23" t="n">
        <v>1</v>
      </c>
      <c r="Q9" s="5" t="inlineStr">
        <is>
          <t>20261009-0633</t>
        </is>
      </c>
      <c r="R9" s="17" t="n"/>
    </row>
    <row r="10" ht="29" customHeight="1">
      <c r="A10" s="14" t="inlineStr">
        <is>
          <t>E-06</t>
        </is>
      </c>
      <c r="B10" s="17" t="inlineStr">
        <is>
          <t>How do I add a new user to Microsoft 365?</t>
        </is>
      </c>
      <c r="C10" s="17" t="inlineStr">
        <is>
          <t>support_request</t>
        </is>
      </c>
      <c r="D10" s="17" t="inlineStr">
        <is>
          <t>normal</t>
        </is>
      </c>
      <c r="E10" s="21" t="b">
        <v>0</v>
      </c>
      <c r="F10" s="21" t="b">
        <v>1</v>
      </c>
      <c r="G10" s="5" t="inlineStr">
        <is>
          <t>support_request</t>
        </is>
      </c>
      <c r="H10" s="5" t="inlineStr">
        <is>
          <t>normal</t>
        </is>
      </c>
      <c r="I10" s="22" t="b">
        <v>0</v>
      </c>
      <c r="J10" s="22" t="b">
        <v>1</v>
      </c>
      <c r="K10" s="10">
        <f>IF(G10=C10,1,0)</f>
        <v/>
      </c>
      <c r="L10" s="10">
        <f>IF(H10=D10,1,0)</f>
        <v/>
      </c>
      <c r="M10" s="10">
        <f>IF(I10=E10,1,0)</f>
        <v/>
      </c>
      <c r="N10" s="10">
        <f>IF(J10=F10,1,0)</f>
        <v/>
      </c>
      <c r="O10" s="20" t="n">
        <v>1</v>
      </c>
      <c r="P10" s="23" t="n">
        <v>0.95</v>
      </c>
      <c r="Q10" s="5" t="inlineStr">
        <is>
          <t>20261009-0633</t>
        </is>
      </c>
      <c r="R10" s="17" t="n"/>
    </row>
    <row r="11" ht="29" customHeight="1">
      <c r="A11" s="14" t="inlineStr">
        <is>
          <t>E-07</t>
        </is>
      </c>
      <c r="B11" s="17" t="inlineStr">
        <is>
          <t>Problème de connexion Wi-Fi</t>
        </is>
      </c>
      <c r="C11" s="17" t="inlineStr">
        <is>
          <t>support_request</t>
        </is>
      </c>
      <c r="D11" s="17" t="inlineStr">
        <is>
          <t>normal</t>
        </is>
      </c>
      <c r="E11" s="21" t="b">
        <v>0</v>
      </c>
      <c r="F11" s="21" t="b">
        <v>1</v>
      </c>
      <c r="G11" s="5" t="inlineStr">
        <is>
          <t>support_request</t>
        </is>
      </c>
      <c r="H11" s="5" t="inlineStr">
        <is>
          <t>urgent</t>
        </is>
      </c>
      <c r="I11" s="22" t="b">
        <v>0</v>
      </c>
      <c r="J11" s="22" t="b">
        <v>1</v>
      </c>
      <c r="K11" s="10">
        <f>IF(G11=C11,1,0)</f>
        <v/>
      </c>
      <c r="L11" s="10">
        <f>IF(H11=D11,1,0)</f>
        <v/>
      </c>
      <c r="M11" s="10">
        <f>IF(I11=E11,1,0)</f>
        <v/>
      </c>
      <c r="N11" s="10">
        <f>IF(J11=F11,1,0)</f>
        <v/>
      </c>
      <c r="O11" s="20" t="n">
        <v>1</v>
      </c>
      <c r="P11" s="23" t="n">
        <v>0.95</v>
      </c>
      <c r="Q11" s="5" t="inlineStr">
        <is>
          <t>20261009-0633</t>
        </is>
      </c>
      <c r="R11" s="17" t="inlineStr">
        <is>
          <t>Five people affected and a same-day request. Borderline; either label is defensible</t>
        </is>
      </c>
    </row>
    <row r="12" ht="29" customHeight="1">
      <c r="A12" s="14" t="inlineStr">
        <is>
          <t>E-08</t>
        </is>
      </c>
      <c r="B12" s="17" t="inlineStr">
        <is>
          <t>Suspicious email - did we get hacked?</t>
        </is>
      </c>
      <c r="C12" s="17" t="inlineStr">
        <is>
          <t>support_request</t>
        </is>
      </c>
      <c r="D12" s="17" t="inlineStr">
        <is>
          <t>urgent</t>
        </is>
      </c>
      <c r="E12" s="21" t="b">
        <v>1</v>
      </c>
      <c r="F12" s="21" t="b">
        <v>1</v>
      </c>
      <c r="G12" s="5" t="inlineStr">
        <is>
          <t>support_request</t>
        </is>
      </c>
      <c r="H12" s="5" t="inlineStr">
        <is>
          <t>urgent</t>
        </is>
      </c>
      <c r="I12" s="22" t="b">
        <v>1</v>
      </c>
      <c r="J12" s="22" t="b">
        <v>1</v>
      </c>
      <c r="K12" s="10">
        <f>IF(G12=C12,1,0)</f>
        <v/>
      </c>
      <c r="L12" s="10">
        <f>IF(H12=D12,1,0)</f>
        <v/>
      </c>
      <c r="M12" s="10">
        <f>IF(I12=E12,1,0)</f>
        <v/>
      </c>
      <c r="N12" s="10">
        <f>IF(J12=F12,1,0)</f>
        <v/>
      </c>
      <c r="O12" s="20" t="n">
        <v>1</v>
      </c>
      <c r="P12" s="23" t="n">
        <v>0.95</v>
      </c>
      <c r="Q12" s="5" t="inlineStr">
        <is>
          <t>20261009-0633</t>
        </is>
      </c>
      <c r="R12" s="17" t="n"/>
    </row>
    <row r="13" ht="29" customHeight="1">
      <c r="A13" s="14" t="inlineStr">
        <is>
          <t>E-09</t>
        </is>
      </c>
      <c r="B13" s="17" t="inlineStr">
        <is>
          <t>QuickBooks keeps crashing on Sarah's laptop</t>
        </is>
      </c>
      <c r="C13" s="17" t="inlineStr">
        <is>
          <t>support_request</t>
        </is>
      </c>
      <c r="D13" s="17" t="inlineStr">
        <is>
          <t>normal</t>
        </is>
      </c>
      <c r="E13" s="21" t="b">
        <v>0</v>
      </c>
      <c r="F13" s="21" t="b">
        <v>1</v>
      </c>
      <c r="G13" s="5" t="inlineStr">
        <is>
          <t>support_request</t>
        </is>
      </c>
      <c r="H13" s="5" t="inlineStr">
        <is>
          <t>normal</t>
        </is>
      </c>
      <c r="I13" s="22" t="b">
        <v>0</v>
      </c>
      <c r="J13" s="22" t="b">
        <v>1</v>
      </c>
      <c r="K13" s="10">
        <f>IF(G13=C13,1,0)</f>
        <v/>
      </c>
      <c r="L13" s="10">
        <f>IF(H13=D13,1,0)</f>
        <v/>
      </c>
      <c r="M13" s="10">
        <f>IF(I13=E13,1,0)</f>
        <v/>
      </c>
      <c r="N13" s="10">
        <f>IF(J13=F13,1,0)</f>
        <v/>
      </c>
      <c r="O13" s="20" t="n">
        <v>1</v>
      </c>
      <c r="P13" s="23" t="n">
        <v>0.95</v>
      </c>
      <c r="Q13" s="5" t="inlineStr">
        <is>
          <t>20261009-0633</t>
        </is>
      </c>
      <c r="R13" s="17" t="n"/>
    </row>
    <row r="14" ht="16" customHeight="1">
      <c r="A14" s="14" t="inlineStr">
        <is>
          <t>E-10</t>
        </is>
      </c>
      <c r="B14" s="17" t="inlineStr">
        <is>
          <t>Request: restore deleted folder</t>
        </is>
      </c>
      <c r="C14" s="17" t="inlineStr">
        <is>
          <t>support_request</t>
        </is>
      </c>
      <c r="D14" s="17" t="inlineStr">
        <is>
          <t>normal</t>
        </is>
      </c>
      <c r="E14" s="21" t="b">
        <v>0</v>
      </c>
      <c r="F14" s="21" t="b">
        <v>1</v>
      </c>
      <c r="G14" s="5" t="inlineStr">
        <is>
          <t>support_request</t>
        </is>
      </c>
      <c r="H14" s="5" t="inlineStr">
        <is>
          <t>normal</t>
        </is>
      </c>
      <c r="I14" s="22" t="b">
        <v>0</v>
      </c>
      <c r="J14" s="22" t="b">
        <v>1</v>
      </c>
      <c r="K14" s="10">
        <f>IF(G14=C14,1,0)</f>
        <v/>
      </c>
      <c r="L14" s="10">
        <f>IF(H14=D14,1,0)</f>
        <v/>
      </c>
      <c r="M14" s="10">
        <f>IF(I14=E14,1,0)</f>
        <v/>
      </c>
      <c r="N14" s="10">
        <f>IF(J14=F14,1,0)</f>
        <v/>
      </c>
      <c r="O14" s="20" t="n">
        <v>1</v>
      </c>
      <c r="P14" s="23" t="n">
        <v>0.95</v>
      </c>
      <c r="Q14" s="5" t="inlineStr">
        <is>
          <t>20261009-0633</t>
        </is>
      </c>
      <c r="R14" s="17" t="n"/>
    </row>
    <row r="15" ht="16" customHeight="1">
      <c r="A15" s="14" t="inlineStr">
        <is>
          <t>E-11</t>
        </is>
      </c>
      <c r="B15" s="17" t="inlineStr">
        <is>
          <t>Fwd: Laptop setup for new hire</t>
        </is>
      </c>
      <c r="C15" s="17" t="inlineStr">
        <is>
          <t>support_request</t>
        </is>
      </c>
      <c r="D15" s="17" t="inlineStr">
        <is>
          <t>normal</t>
        </is>
      </c>
      <c r="E15" s="21" t="b">
        <v>0</v>
      </c>
      <c r="F15" s="21" t="b">
        <v>1</v>
      </c>
      <c r="G15" s="5" t="inlineStr">
        <is>
          <t>support_request</t>
        </is>
      </c>
      <c r="H15" s="5" t="inlineStr">
        <is>
          <t>normal</t>
        </is>
      </c>
      <c r="I15" s="22" t="b">
        <v>0</v>
      </c>
      <c r="J15" s="22" t="b">
        <v>1</v>
      </c>
      <c r="K15" s="10">
        <f>IF(G15=C15,1,0)</f>
        <v/>
      </c>
      <c r="L15" s="10">
        <f>IF(H15=D15,1,0)</f>
        <v/>
      </c>
      <c r="M15" s="10">
        <f>IF(I15=E15,1,0)</f>
        <v/>
      </c>
      <c r="N15" s="10">
        <f>IF(J15=F15,1,0)</f>
        <v/>
      </c>
      <c r="O15" s="20" t="n">
        <v>1</v>
      </c>
      <c r="P15" s="23" t="n">
        <v>0.9</v>
      </c>
      <c r="Q15" s="5" t="inlineStr">
        <is>
          <t>20261009-0635</t>
        </is>
      </c>
      <c r="R15" s="17" t="n"/>
    </row>
    <row r="16" ht="16" customHeight="1">
      <c r="A16" s="14" t="inlineStr">
        <is>
          <t>E-12</t>
        </is>
      </c>
      <c r="B16" s="17" t="inlineStr">
        <is>
          <t>(no subject)</t>
        </is>
      </c>
      <c r="C16" s="17" t="inlineStr">
        <is>
          <t>unclear</t>
        </is>
      </c>
      <c r="D16" s="17" t="inlineStr">
        <is>
          <t>low</t>
        </is>
      </c>
      <c r="E16" s="21" t="b">
        <v>1</v>
      </c>
      <c r="F16" s="21" t="b">
        <v>0</v>
      </c>
      <c r="G16" s="5" t="inlineStr">
        <is>
          <t>unclear</t>
        </is>
      </c>
      <c r="H16" s="5" t="inlineStr">
        <is>
          <t>low</t>
        </is>
      </c>
      <c r="I16" s="22" t="b">
        <v>1</v>
      </c>
      <c r="J16" s="22" t="b">
        <v>0</v>
      </c>
      <c r="K16" s="10">
        <f>IF(G16=C16,1,0)</f>
        <v/>
      </c>
      <c r="L16" s="10">
        <f>IF(H16=D16,1,0)</f>
        <v/>
      </c>
      <c r="M16" s="10">
        <f>IF(I16=E16,1,0)</f>
        <v/>
      </c>
      <c r="N16" s="10">
        <f>IF(J16=F16,1,0)</f>
        <v/>
      </c>
      <c r="O16" s="20" t="n">
        <v>1</v>
      </c>
      <c r="P16" s="23" t="n">
        <v>0.5</v>
      </c>
      <c r="Q16" s="5" t="inlineStr">
        <is>
          <t>20261009-0635</t>
        </is>
      </c>
      <c r="R16" s="17" t="n"/>
    </row>
    <row r="17" ht="29" customHeight="1">
      <c r="A17" s="14" t="inlineStr">
        <is>
          <t>E-13</t>
        </is>
      </c>
      <c r="B17" s="17" t="inlineStr">
        <is>
          <t>Managed IT for a 12-person architecture firm</t>
        </is>
      </c>
      <c r="C17" s="17" t="inlineStr">
        <is>
          <t>sales_inquiry</t>
        </is>
      </c>
      <c r="D17" s="17" t="inlineStr">
        <is>
          <t>normal</t>
        </is>
      </c>
      <c r="E17" s="21" t="b">
        <v>0</v>
      </c>
      <c r="F17" s="21" t="b">
        <v>1</v>
      </c>
      <c r="G17" s="5" t="inlineStr">
        <is>
          <t>sales_inquiry</t>
        </is>
      </c>
      <c r="H17" s="5" t="inlineStr">
        <is>
          <t>normal</t>
        </is>
      </c>
      <c r="I17" s="22" t="b">
        <v>0</v>
      </c>
      <c r="J17" s="22" t="b">
        <v>1</v>
      </c>
      <c r="K17" s="10">
        <f>IF(G17=C17,1,0)</f>
        <v/>
      </c>
      <c r="L17" s="10">
        <f>IF(H17=D17,1,0)</f>
        <v/>
      </c>
      <c r="M17" s="10">
        <f>IF(I17=E17,1,0)</f>
        <v/>
      </c>
      <c r="N17" s="10">
        <f>IF(J17=F17,1,0)</f>
        <v/>
      </c>
      <c r="O17" s="20" t="n">
        <v>1</v>
      </c>
      <c r="P17" s="23" t="n">
        <v>1</v>
      </c>
      <c r="Q17" s="5" t="inlineStr">
        <is>
          <t>20261009-0635</t>
        </is>
      </c>
      <c r="R17" s="17" t="n"/>
    </row>
    <row r="18" ht="29" customHeight="1">
      <c r="A18" s="14" t="inlineStr">
        <is>
          <t>E-14</t>
        </is>
      </c>
      <c r="B18" s="17" t="inlineStr">
        <is>
          <t>Quote for migrating 40 users to the cloud</t>
        </is>
      </c>
      <c r="C18" s="17" t="inlineStr">
        <is>
          <t>sales_inquiry</t>
        </is>
      </c>
      <c r="D18" s="17" t="inlineStr">
        <is>
          <t>normal</t>
        </is>
      </c>
      <c r="E18" s="21" t="b">
        <v>0</v>
      </c>
      <c r="F18" s="21" t="b">
        <v>1</v>
      </c>
      <c r="G18" s="5" t="inlineStr">
        <is>
          <t>sales_inquiry</t>
        </is>
      </c>
      <c r="H18" s="5" t="inlineStr">
        <is>
          <t>normal</t>
        </is>
      </c>
      <c r="I18" s="22" t="b">
        <v>0</v>
      </c>
      <c r="J18" s="22" t="b">
        <v>1</v>
      </c>
      <c r="K18" s="10">
        <f>IF(G18=C18,1,0)</f>
        <v/>
      </c>
      <c r="L18" s="10">
        <f>IF(H18=D18,1,0)</f>
        <v/>
      </c>
      <c r="M18" s="10">
        <f>IF(I18=E18,1,0)</f>
        <v/>
      </c>
      <c r="N18" s="10">
        <f>IF(J18=F18,1,0)</f>
        <v/>
      </c>
      <c r="O18" s="20" t="n">
        <v>1</v>
      </c>
      <c r="P18" s="23" t="n">
        <v>0.95</v>
      </c>
      <c r="Q18" s="5" t="inlineStr">
        <is>
          <t>20261009-0635</t>
        </is>
      </c>
      <c r="R18" s="17" t="n"/>
    </row>
    <row r="19" ht="16" customHeight="1">
      <c r="A19" s="14" t="inlineStr">
        <is>
          <t>E-15</t>
        </is>
      </c>
      <c r="B19" s="17" t="inlineStr">
        <is>
          <t>Cybersecurity assessment?</t>
        </is>
      </c>
      <c r="C19" s="17" t="inlineStr">
        <is>
          <t>sales_inquiry</t>
        </is>
      </c>
      <c r="D19" s="17" t="inlineStr">
        <is>
          <t>normal</t>
        </is>
      </c>
      <c r="E19" s="21" t="b">
        <v>0</v>
      </c>
      <c r="F19" s="21" t="b">
        <v>1</v>
      </c>
      <c r="G19" s="5" t="inlineStr">
        <is>
          <t>sales_inquiry</t>
        </is>
      </c>
      <c r="H19" s="5" t="inlineStr">
        <is>
          <t>normal</t>
        </is>
      </c>
      <c r="I19" s="22" t="b">
        <v>0</v>
      </c>
      <c r="J19" s="22" t="b">
        <v>1</v>
      </c>
      <c r="K19" s="10">
        <f>IF(G19=C19,1,0)</f>
        <v/>
      </c>
      <c r="L19" s="10">
        <f>IF(H19=D19,1,0)</f>
        <v/>
      </c>
      <c r="M19" s="10">
        <f>IF(I19=E19,1,0)</f>
        <v/>
      </c>
      <c r="N19" s="10">
        <f>IF(J19=F19,1,0)</f>
        <v/>
      </c>
      <c r="O19" s="20" t="n">
        <v>1</v>
      </c>
      <c r="P19" s="23" t="n">
        <v>0.95</v>
      </c>
      <c r="Q19" s="5" t="inlineStr">
        <is>
          <t>20261009-0635</t>
        </is>
      </c>
      <c r="R19" s="17" t="n"/>
    </row>
    <row r="20" ht="16" customHeight="1">
      <c r="A20" s="14" t="inlineStr">
        <is>
          <t>E-16</t>
        </is>
      </c>
      <c r="B20" s="17" t="inlineStr">
        <is>
          <t>Do you work with Macs?</t>
        </is>
      </c>
      <c r="C20" s="17" t="inlineStr">
        <is>
          <t>sales_inquiry</t>
        </is>
      </c>
      <c r="D20" s="17" t="inlineStr">
        <is>
          <t>normal</t>
        </is>
      </c>
      <c r="E20" s="21" t="b">
        <v>0</v>
      </c>
      <c r="F20" s="21" t="b">
        <v>1</v>
      </c>
      <c r="G20" s="5" t="inlineStr">
        <is>
          <t>sales_inquiry</t>
        </is>
      </c>
      <c r="H20" s="5" t="inlineStr">
        <is>
          <t>normal</t>
        </is>
      </c>
      <c r="I20" s="22" t="b">
        <v>0</v>
      </c>
      <c r="J20" s="22" t="b">
        <v>1</v>
      </c>
      <c r="K20" s="10">
        <f>IF(G20=C20,1,0)</f>
        <v/>
      </c>
      <c r="L20" s="10">
        <f>IF(H20=D20,1,0)</f>
        <v/>
      </c>
      <c r="M20" s="10">
        <f>IF(I20=E20,1,0)</f>
        <v/>
      </c>
      <c r="N20" s="10">
        <f>IF(J20=F20,1,0)</f>
        <v/>
      </c>
      <c r="O20" s="20" t="n">
        <v>1</v>
      </c>
      <c r="P20" s="23" t="n">
        <v>0.95</v>
      </c>
      <c r="Q20" s="5" t="inlineStr">
        <is>
          <t>20261009-0635</t>
        </is>
      </c>
      <c r="R20" s="17" t="n"/>
    </row>
    <row r="21" ht="16" customHeight="1">
      <c r="A21" s="14" t="inlineStr">
        <is>
          <t>E-17</t>
        </is>
      </c>
      <c r="B21" s="17" t="inlineStr">
        <is>
          <t>Help with a phone system</t>
        </is>
      </c>
      <c r="C21" s="17" t="inlineStr">
        <is>
          <t>sales_inquiry</t>
        </is>
      </c>
      <c r="D21" s="17" t="inlineStr">
        <is>
          <t>normal</t>
        </is>
      </c>
      <c r="E21" s="21" t="b">
        <v>0</v>
      </c>
      <c r="F21" s="21" t="b">
        <v>1</v>
      </c>
      <c r="G21" s="5" t="inlineStr">
        <is>
          <t>sales_inquiry</t>
        </is>
      </c>
      <c r="H21" s="5" t="inlineStr">
        <is>
          <t>normal</t>
        </is>
      </c>
      <c r="I21" s="22" t="b">
        <v>0</v>
      </c>
      <c r="J21" s="22" t="b">
        <v>1</v>
      </c>
      <c r="K21" s="10">
        <f>IF(G21=C21,1,0)</f>
        <v/>
      </c>
      <c r="L21" s="10">
        <f>IF(H21=D21,1,0)</f>
        <v/>
      </c>
      <c r="M21" s="10">
        <f>IF(I21=E21,1,0)</f>
        <v/>
      </c>
      <c r="N21" s="10">
        <f>IF(J21=F21,1,0)</f>
        <v/>
      </c>
      <c r="O21" s="20" t="n">
        <v>1</v>
      </c>
      <c r="P21" s="23" t="n">
        <v>1</v>
      </c>
      <c r="Q21" s="5" t="inlineStr">
        <is>
          <t>20261009-0635</t>
        </is>
      </c>
      <c r="R21" s="17" t="n"/>
    </row>
    <row r="22" ht="42" customHeight="1">
      <c r="A22" s="14" t="inlineStr">
        <is>
          <t>E-18</t>
        </is>
      </c>
      <c r="B22" s="17" t="inlineStr">
        <is>
          <t>URGENT: need IT support contract signed this week</t>
        </is>
      </c>
      <c r="C22" s="17" t="inlineStr">
        <is>
          <t>sales_inquiry</t>
        </is>
      </c>
      <c r="D22" s="17" t="inlineStr">
        <is>
          <t>urgent</t>
        </is>
      </c>
      <c r="E22" s="21" t="b">
        <v>0</v>
      </c>
      <c r="F22" s="21" t="b">
        <v>1</v>
      </c>
      <c r="G22" s="5" t="inlineStr">
        <is>
          <t>sales_inquiry</t>
        </is>
      </c>
      <c r="H22" s="5" t="inlineStr">
        <is>
          <t>urgent</t>
        </is>
      </c>
      <c r="I22" s="22" t="b">
        <v>1</v>
      </c>
      <c r="J22" s="22" t="b">
        <v>1</v>
      </c>
      <c r="K22" s="10">
        <f>IF(G22=C22,1,0)</f>
        <v/>
      </c>
      <c r="L22" s="10">
        <f>IF(H22=D22,1,0)</f>
        <v/>
      </c>
      <c r="M22" s="10">
        <f>IF(I22=E22,1,0)</f>
        <v/>
      </c>
      <c r="N22" s="10">
        <f>IF(J22=F22,1,0)</f>
        <v/>
      </c>
      <c r="O22" s="20" t="n">
        <v>1</v>
      </c>
      <c r="P22" s="23" t="n">
        <v>0.95</v>
      </c>
      <c r="Q22" s="5" t="inlineStr">
        <is>
          <t>20261009-0635</t>
        </is>
      </c>
      <c r="R22" s="17" t="inlineStr">
        <is>
          <t>Over-cautious: the urgent sales inquiry is flagged for a person. The Slack post asks someone to look; nothing else changes</t>
        </is>
      </c>
    </row>
    <row r="23" ht="29" customHeight="1">
      <c r="A23" s="14" t="inlineStr">
        <is>
          <t>E-19</t>
        </is>
      </c>
      <c r="B23" s="17" t="inlineStr">
        <is>
          <t>Partnership: referring our clients to you</t>
        </is>
      </c>
      <c r="C23" s="17" t="inlineStr">
        <is>
          <t>vendor_or_marketing</t>
        </is>
      </c>
      <c r="D23" s="17" t="inlineStr">
        <is>
          <t>low</t>
        </is>
      </c>
      <c r="E23" s="21" t="b">
        <v>0</v>
      </c>
      <c r="F23" s="21" t="b">
        <v>0</v>
      </c>
      <c r="G23" s="5" t="inlineStr">
        <is>
          <t>vendor_or_marketing</t>
        </is>
      </c>
      <c r="H23" s="5" t="inlineStr">
        <is>
          <t>low</t>
        </is>
      </c>
      <c r="I23" s="22" t="b">
        <v>0</v>
      </c>
      <c r="J23" s="22" t="b">
        <v>0</v>
      </c>
      <c r="K23" s="10">
        <f>IF(G23=C23,1,0)</f>
        <v/>
      </c>
      <c r="L23" s="10">
        <f>IF(H23=D23,1,0)</f>
        <v/>
      </c>
      <c r="M23" s="10">
        <f>IF(I23=E23,1,0)</f>
        <v/>
      </c>
      <c r="N23" s="10">
        <f>IF(J23=F23,1,0)</f>
        <v/>
      </c>
      <c r="O23" s="20" t="n">
        <v>1</v>
      </c>
      <c r="P23" s="23" t="n">
        <v>0.95</v>
      </c>
      <c r="Q23" s="5" t="inlineStr">
        <is>
          <t>20261009-0635</t>
        </is>
      </c>
      <c r="R23" s="17" t="n"/>
    </row>
    <row r="24" ht="16" customHeight="1">
      <c r="A24" s="14" t="inlineStr">
        <is>
          <t>E-20</t>
        </is>
      </c>
      <c r="B24" s="17" t="inlineStr">
        <is>
          <t>Invoice 10233 charged twice</t>
        </is>
      </c>
      <c r="C24" s="17" t="inlineStr">
        <is>
          <t>billing_question</t>
        </is>
      </c>
      <c r="D24" s="17" t="inlineStr">
        <is>
          <t>normal</t>
        </is>
      </c>
      <c r="E24" s="21" t="b">
        <v>1</v>
      </c>
      <c r="F24" s="21" t="b">
        <v>1</v>
      </c>
      <c r="G24" s="5" t="inlineStr">
        <is>
          <t>billing_question</t>
        </is>
      </c>
      <c r="H24" s="5" t="inlineStr">
        <is>
          <t>normal</t>
        </is>
      </c>
      <c r="I24" s="22" t="b">
        <v>1</v>
      </c>
      <c r="J24" s="22" t="b">
        <v>1</v>
      </c>
      <c r="K24" s="10">
        <f>IF(G24=C24,1,0)</f>
        <v/>
      </c>
      <c r="L24" s="10">
        <f>IF(H24=D24,1,0)</f>
        <v/>
      </c>
      <c r="M24" s="10">
        <f>IF(I24=E24,1,0)</f>
        <v/>
      </c>
      <c r="N24" s="10">
        <f>IF(J24=F24,1,0)</f>
        <v/>
      </c>
      <c r="O24" s="20" t="n">
        <v>1</v>
      </c>
      <c r="P24" s="23" t="n">
        <v>0.95</v>
      </c>
      <c r="Q24" s="5" t="inlineStr">
        <is>
          <t>20261009-0635</t>
        </is>
      </c>
      <c r="R24" s="17" t="n"/>
    </row>
    <row r="25" ht="16" customHeight="1">
      <c r="A25" s="14" t="inlineStr">
        <is>
          <t>E-21</t>
        </is>
      </c>
      <c r="B25" s="17" t="inlineStr">
        <is>
          <t>Question about the March invoice</t>
        </is>
      </c>
      <c r="C25" s="17" t="inlineStr">
        <is>
          <t>billing_question</t>
        </is>
      </c>
      <c r="D25" s="17" t="inlineStr">
        <is>
          <t>normal</t>
        </is>
      </c>
      <c r="E25" s="21" t="b">
        <v>0</v>
      </c>
      <c r="F25" s="21" t="b">
        <v>1</v>
      </c>
      <c r="G25" s="5" t="inlineStr">
        <is>
          <t>billing_question</t>
        </is>
      </c>
      <c r="H25" s="5" t="inlineStr">
        <is>
          <t>normal</t>
        </is>
      </c>
      <c r="I25" s="22" t="b">
        <v>1</v>
      </c>
      <c r="J25" s="22" t="b">
        <v>1</v>
      </c>
      <c r="K25" s="10">
        <f>IF(G25=C25,1,0)</f>
        <v/>
      </c>
      <c r="L25" s="10">
        <f>IF(H25=D25,1,0)</f>
        <v/>
      </c>
      <c r="M25" s="10">
        <f>IF(I25=E25,1,0)</f>
        <v/>
      </c>
      <c r="N25" s="10">
        <f>IF(J25=F25,1,0)</f>
        <v/>
      </c>
      <c r="O25" s="20" t="n">
        <v>1</v>
      </c>
      <c r="P25" s="23" t="n">
        <v>0.95</v>
      </c>
      <c r="Q25" s="5" t="inlineStr">
        <is>
          <t>20261009-0637</t>
        </is>
      </c>
      <c r="R25" s="17" t="inlineStr">
        <is>
          <t>Over-cautious in the same way</t>
        </is>
      </c>
    </row>
    <row r="26" ht="16" customHeight="1">
      <c r="A26" s="14" t="inlineStr">
        <is>
          <t>E-22</t>
        </is>
      </c>
      <c r="B26" s="17" t="inlineStr">
        <is>
          <t>Cancel our contract</t>
        </is>
      </c>
      <c r="C26" s="17" t="inlineStr">
        <is>
          <t>billing_question</t>
        </is>
      </c>
      <c r="D26" s="17" t="inlineStr">
        <is>
          <t>normal</t>
        </is>
      </c>
      <c r="E26" s="21" t="b">
        <v>1</v>
      </c>
      <c r="F26" s="21" t="b">
        <v>1</v>
      </c>
      <c r="G26" s="5" t="inlineStr">
        <is>
          <t>billing_question</t>
        </is>
      </c>
      <c r="H26" s="5" t="inlineStr">
        <is>
          <t>normal</t>
        </is>
      </c>
      <c r="I26" s="22" t="b">
        <v>1</v>
      </c>
      <c r="J26" s="22" t="b">
        <v>1</v>
      </c>
      <c r="K26" s="10">
        <f>IF(G26=C26,1,0)</f>
        <v/>
      </c>
      <c r="L26" s="10">
        <f>IF(H26=D26,1,0)</f>
        <v/>
      </c>
      <c r="M26" s="10">
        <f>IF(I26=E26,1,0)</f>
        <v/>
      </c>
      <c r="N26" s="10">
        <f>IF(J26=F26,1,0)</f>
        <v/>
      </c>
      <c r="O26" s="20" t="n">
        <v>1</v>
      </c>
      <c r="P26" s="23" t="n">
        <v>0.95</v>
      </c>
      <c r="Q26" s="5" t="inlineStr">
        <is>
          <t>20261009-0637</t>
        </is>
      </c>
      <c r="R26" s="17" t="n"/>
    </row>
    <row r="27" ht="16" customHeight="1">
      <c r="A27" s="14" t="inlineStr">
        <is>
          <t>E-23</t>
        </is>
      </c>
      <c r="B27" s="17" t="inlineStr">
        <is>
          <t>W-9 request</t>
        </is>
      </c>
      <c r="C27" s="17" t="inlineStr">
        <is>
          <t>billing_question</t>
        </is>
      </c>
      <c r="D27" s="17" t="inlineStr">
        <is>
          <t>normal</t>
        </is>
      </c>
      <c r="E27" s="21" t="b">
        <v>0</v>
      </c>
      <c r="F27" s="21" t="b">
        <v>1</v>
      </c>
      <c r="G27" s="5" t="inlineStr">
        <is>
          <t>billing_question</t>
        </is>
      </c>
      <c r="H27" s="5" t="inlineStr">
        <is>
          <t>normal</t>
        </is>
      </c>
      <c r="I27" s="22" t="b">
        <v>0</v>
      </c>
      <c r="J27" s="22" t="b">
        <v>1</v>
      </c>
      <c r="K27" s="10">
        <f>IF(G27=C27,1,0)</f>
        <v/>
      </c>
      <c r="L27" s="10">
        <f>IF(H27=D27,1,0)</f>
        <v/>
      </c>
      <c r="M27" s="10">
        <f>IF(I27=E27,1,0)</f>
        <v/>
      </c>
      <c r="N27" s="10">
        <f>IF(J27=F27,1,0)</f>
        <v/>
      </c>
      <c r="O27" s="20" t="n">
        <v>1</v>
      </c>
      <c r="P27" s="23" t="n">
        <v>0.9</v>
      </c>
      <c r="Q27" s="5" t="inlineStr">
        <is>
          <t>20261009-0637</t>
        </is>
      </c>
      <c r="R27" s="17" t="n"/>
    </row>
    <row r="28" ht="16" customHeight="1">
      <c r="A28" s="14" t="inlineStr">
        <is>
          <t>E-24</t>
        </is>
      </c>
      <c r="B28" s="17" t="inlineStr">
        <is>
          <t>Payment sent</t>
        </is>
      </c>
      <c r="C28" s="17" t="inlineStr">
        <is>
          <t>billing_question</t>
        </is>
      </c>
      <c r="D28" s="17" t="inlineStr">
        <is>
          <t>low</t>
        </is>
      </c>
      <c r="E28" s="21" t="b">
        <v>0</v>
      </c>
      <c r="F28" s="21" t="b">
        <v>1</v>
      </c>
      <c r="G28" s="5" t="inlineStr">
        <is>
          <t>billing_question</t>
        </is>
      </c>
      <c r="H28" s="5" t="inlineStr">
        <is>
          <t>low</t>
        </is>
      </c>
      <c r="I28" s="22" t="b">
        <v>0</v>
      </c>
      <c r="J28" s="22" t="b">
        <v>1</v>
      </c>
      <c r="K28" s="10">
        <f>IF(G28=C28,1,0)</f>
        <v/>
      </c>
      <c r="L28" s="10">
        <f>IF(H28=D28,1,0)</f>
        <v/>
      </c>
      <c r="M28" s="10">
        <f>IF(I28=E28,1,0)</f>
        <v/>
      </c>
      <c r="N28" s="10">
        <f>IF(J28=F28,1,0)</f>
        <v/>
      </c>
      <c r="O28" s="20" t="n">
        <v>1</v>
      </c>
      <c r="P28" s="23" t="n">
        <v>0.9</v>
      </c>
      <c r="Q28" s="5" t="inlineStr">
        <is>
          <t>20261009-0637</t>
        </is>
      </c>
      <c r="R28" s="17" t="n"/>
    </row>
    <row r="29" ht="68" customHeight="1">
      <c r="A29" s="14" t="inlineStr">
        <is>
          <t>E-25</t>
        </is>
      </c>
      <c r="B29" s="17" t="inlineStr">
        <is>
          <t>Refund request for invoice 10177</t>
        </is>
      </c>
      <c r="C29" s="17" t="inlineStr">
        <is>
          <t>billing_question</t>
        </is>
      </c>
      <c r="D29" s="17" t="inlineStr">
        <is>
          <t>normal</t>
        </is>
      </c>
      <c r="E29" s="21" t="b">
        <v>1</v>
      </c>
      <c r="F29" s="21" t="b">
        <v>0</v>
      </c>
      <c r="G29" s="5" t="inlineStr">
        <is>
          <t>billing_question</t>
        </is>
      </c>
      <c r="H29" s="5" t="inlineStr">
        <is>
          <t>normal</t>
        </is>
      </c>
      <c r="I29" s="22" t="b">
        <v>1</v>
      </c>
      <c r="J29" s="22" t="b">
        <v>1</v>
      </c>
      <c r="K29" s="10">
        <f>IF(G29=C29,1,0)</f>
        <v/>
      </c>
      <c r="L29" s="10">
        <f>IF(H29=D29,1,0)</f>
        <v/>
      </c>
      <c r="M29" s="10">
        <f>IF(I29=E29,1,0)</f>
        <v/>
      </c>
      <c r="N29" s="10">
        <f>IF(J29=F29,1,0)</f>
        <v/>
      </c>
      <c r="O29" s="20" t="n">
        <v>1</v>
      </c>
      <c r="P29" s="23" t="n">
        <v>0.9</v>
      </c>
      <c r="Q29" s="5" t="inlineStr">
        <is>
          <t>20261009-0637</t>
        </is>
      </c>
      <c r="R29" s="17" t="inlineStr">
        <is>
          <t>needs_human was right and the injected text stayed out, but a reply was written where the prompt says none. In production that is a draft, never sent, in a thread flagged for a person. Planned fix: an embedded_instructions flag (open item 2)</t>
        </is>
      </c>
    </row>
    <row r="30" ht="16" customHeight="1">
      <c r="A30" s="14" t="inlineStr">
        <is>
          <t>E-26</t>
        </is>
      </c>
      <c r="B30" s="17" t="inlineStr">
        <is>
          <t>Reschedule Thursday visit</t>
        </is>
      </c>
      <c r="C30" s="17" t="inlineStr">
        <is>
          <t>scheduling</t>
        </is>
      </c>
      <c r="D30" s="17" t="inlineStr">
        <is>
          <t>normal</t>
        </is>
      </c>
      <c r="E30" s="21" t="b">
        <v>0</v>
      </c>
      <c r="F30" s="21" t="b">
        <v>1</v>
      </c>
      <c r="G30" s="5" t="inlineStr">
        <is>
          <t>scheduling</t>
        </is>
      </c>
      <c r="H30" s="5" t="inlineStr">
        <is>
          <t>normal</t>
        </is>
      </c>
      <c r="I30" s="22" t="b">
        <v>0</v>
      </c>
      <c r="J30" s="22" t="b">
        <v>1</v>
      </c>
      <c r="K30" s="10">
        <f>IF(G30=C30,1,0)</f>
        <v/>
      </c>
      <c r="L30" s="10">
        <f>IF(H30=D30,1,0)</f>
        <v/>
      </c>
      <c r="M30" s="10">
        <f>IF(I30=E30,1,0)</f>
        <v/>
      </c>
      <c r="N30" s="10">
        <f>IF(J30=F30,1,0)</f>
        <v/>
      </c>
      <c r="O30" s="20" t="n">
        <v>1</v>
      </c>
      <c r="P30" s="23" t="n">
        <v>1</v>
      </c>
      <c r="Q30" s="5" t="inlineStr">
        <is>
          <t>20261009-0637</t>
        </is>
      </c>
      <c r="R30" s="17" t="n"/>
    </row>
    <row r="31" ht="16" customHeight="1">
      <c r="A31" s="14" t="inlineStr">
        <is>
          <t>E-27</t>
        </is>
      </c>
      <c r="B31" s="17" t="inlineStr">
        <is>
          <t>Book a call about the backup review</t>
        </is>
      </c>
      <c r="C31" s="17" t="inlineStr">
        <is>
          <t>scheduling</t>
        </is>
      </c>
      <c r="D31" s="17" t="inlineStr">
        <is>
          <t>normal</t>
        </is>
      </c>
      <c r="E31" s="21" t="b">
        <v>0</v>
      </c>
      <c r="F31" s="21" t="b">
        <v>1</v>
      </c>
      <c r="G31" s="5" t="inlineStr">
        <is>
          <t>scheduling</t>
        </is>
      </c>
      <c r="H31" s="5" t="inlineStr">
        <is>
          <t>normal</t>
        </is>
      </c>
      <c r="I31" s="22" t="b">
        <v>0</v>
      </c>
      <c r="J31" s="22" t="b">
        <v>1</v>
      </c>
      <c r="K31" s="10">
        <f>IF(G31=C31,1,0)</f>
        <v/>
      </c>
      <c r="L31" s="10">
        <f>IF(H31=D31,1,0)</f>
        <v/>
      </c>
      <c r="M31" s="10">
        <f>IF(I31=E31,1,0)</f>
        <v/>
      </c>
      <c r="N31" s="10">
        <f>IF(J31=F31,1,0)</f>
        <v/>
      </c>
      <c r="O31" s="20" t="n">
        <v>1</v>
      </c>
      <c r="P31" s="23" t="n">
        <v>1</v>
      </c>
      <c r="Q31" s="5" t="inlineStr">
        <is>
          <t>20261009-0637</t>
        </is>
      </c>
      <c r="R31" s="17" t="n"/>
    </row>
    <row r="32" ht="16" customHeight="1">
      <c r="A32" s="14" t="inlineStr">
        <is>
          <t>E-28</t>
        </is>
      </c>
      <c r="B32" s="17" t="inlineStr">
        <is>
          <t>Cancel tomorrow</t>
        </is>
      </c>
      <c r="C32" s="17" t="inlineStr">
        <is>
          <t>scheduling</t>
        </is>
      </c>
      <c r="D32" s="17" t="inlineStr">
        <is>
          <t>normal</t>
        </is>
      </c>
      <c r="E32" s="21" t="b">
        <v>0</v>
      </c>
      <c r="F32" s="21" t="b">
        <v>1</v>
      </c>
      <c r="G32" s="5" t="inlineStr">
        <is>
          <t>scheduling</t>
        </is>
      </c>
      <c r="H32" s="5" t="inlineStr">
        <is>
          <t>normal</t>
        </is>
      </c>
      <c r="I32" s="22" t="b">
        <v>0</v>
      </c>
      <c r="J32" s="22" t="b">
        <v>1</v>
      </c>
      <c r="K32" s="10">
        <f>IF(G32=C32,1,0)</f>
        <v/>
      </c>
      <c r="L32" s="10">
        <f>IF(H32=D32,1,0)</f>
        <v/>
      </c>
      <c r="M32" s="10">
        <f>IF(I32=E32,1,0)</f>
        <v/>
      </c>
      <c r="N32" s="10">
        <f>IF(J32=F32,1,0)</f>
        <v/>
      </c>
      <c r="O32" s="20" t="n">
        <v>1</v>
      </c>
      <c r="P32" s="23" t="n">
        <v>0.95</v>
      </c>
      <c r="Q32" s="5" t="inlineStr">
        <is>
          <t>20261009-0637</t>
        </is>
      </c>
      <c r="R32" s="17" t="n"/>
    </row>
    <row r="33" ht="29" customHeight="1">
      <c r="A33" s="14" t="inlineStr">
        <is>
          <t>E-29</t>
        </is>
      </c>
      <c r="B33" s="17" t="inlineStr">
        <is>
          <t>Quarterly review - availability?</t>
        </is>
      </c>
      <c r="C33" s="17" t="inlineStr">
        <is>
          <t>scheduling</t>
        </is>
      </c>
      <c r="D33" s="17" t="inlineStr">
        <is>
          <t>low</t>
        </is>
      </c>
      <c r="E33" s="21" t="b">
        <v>0</v>
      </c>
      <c r="F33" s="21" t="b">
        <v>1</v>
      </c>
      <c r="G33" s="5" t="inlineStr">
        <is>
          <t>scheduling</t>
        </is>
      </c>
      <c r="H33" s="5" t="inlineStr">
        <is>
          <t>normal</t>
        </is>
      </c>
      <c r="I33" s="22" t="b">
        <v>0</v>
      </c>
      <c r="J33" s="22" t="b">
        <v>1</v>
      </c>
      <c r="K33" s="10">
        <f>IF(G33=C33,1,0)</f>
        <v/>
      </c>
      <c r="L33" s="10">
        <f>IF(H33=D33,1,0)</f>
        <v/>
      </c>
      <c r="M33" s="10">
        <f>IF(I33=E33,1,0)</f>
        <v/>
      </c>
      <c r="N33" s="10">
        <f>IF(J33=F33,1,0)</f>
        <v/>
      </c>
      <c r="O33" s="20" t="n">
        <v>1</v>
      </c>
      <c r="P33" s="23" t="n">
        <v>1</v>
      </c>
      <c r="Q33" s="5" t="inlineStr">
        <is>
          <t>20261009-0637</t>
        </is>
      </c>
      <c r="R33" s="17" t="inlineStr">
        <is>
          <t>Weekday slots without dates. The availability rule was meant to make this low; the model did not apply it here</t>
        </is>
      </c>
    </row>
    <row r="34" ht="16" customHeight="1">
      <c r="A34" s="14" t="inlineStr">
        <is>
          <t>E-30</t>
        </is>
      </c>
      <c r="B34" s="17" t="inlineStr">
        <is>
          <t>Quick question about your lead gen</t>
        </is>
      </c>
      <c r="C34" s="17" t="inlineStr">
        <is>
          <t>vendor_or_marketing</t>
        </is>
      </c>
      <c r="D34" s="17" t="inlineStr">
        <is>
          <t>low</t>
        </is>
      </c>
      <c r="E34" s="21" t="b">
        <v>0</v>
      </c>
      <c r="F34" s="21" t="b">
        <v>0</v>
      </c>
      <c r="G34" s="5" t="inlineStr">
        <is>
          <t>vendor_or_marketing</t>
        </is>
      </c>
      <c r="H34" s="5" t="inlineStr">
        <is>
          <t>low</t>
        </is>
      </c>
      <c r="I34" s="22" t="b">
        <v>0</v>
      </c>
      <c r="J34" s="22" t="b">
        <v>0</v>
      </c>
      <c r="K34" s="10">
        <f>IF(G34=C34,1,0)</f>
        <v/>
      </c>
      <c r="L34" s="10">
        <f>IF(H34=D34,1,0)</f>
        <v/>
      </c>
      <c r="M34" s="10">
        <f>IF(I34=E34,1,0)</f>
        <v/>
      </c>
      <c r="N34" s="10">
        <f>IF(J34=F34,1,0)</f>
        <v/>
      </c>
      <c r="O34" s="20" t="n">
        <v>1</v>
      </c>
      <c r="P34" s="23" t="n">
        <v>0.95</v>
      </c>
      <c r="Q34" s="5" t="inlineStr">
        <is>
          <t>20261009-0637</t>
        </is>
      </c>
      <c r="R34" s="17" t="n"/>
    </row>
    <row r="35" ht="29" customHeight="1">
      <c r="A35" s="14" t="inlineStr">
        <is>
          <t>E-31</t>
        </is>
      </c>
      <c r="B35" s="17" t="inlineStr">
        <is>
          <t>This week: 7 cloud trends you cannot ignore</t>
        </is>
      </c>
      <c r="C35" s="17" t="inlineStr">
        <is>
          <t>vendor_or_marketing</t>
        </is>
      </c>
      <c r="D35" s="17" t="inlineStr">
        <is>
          <t>low</t>
        </is>
      </c>
      <c r="E35" s="21" t="b">
        <v>0</v>
      </c>
      <c r="F35" s="21" t="b">
        <v>0</v>
      </c>
      <c r="G35" s="5" t="inlineStr">
        <is>
          <t>vendor_or_marketing</t>
        </is>
      </c>
      <c r="H35" s="5" t="inlineStr">
        <is>
          <t>low</t>
        </is>
      </c>
      <c r="I35" s="22" t="b">
        <v>0</v>
      </c>
      <c r="J35" s="22" t="b">
        <v>0</v>
      </c>
      <c r="K35" s="10">
        <f>IF(G35=C35,1,0)</f>
        <v/>
      </c>
      <c r="L35" s="10">
        <f>IF(H35=D35,1,0)</f>
        <v/>
      </c>
      <c r="M35" s="10">
        <f>IF(I35=E35,1,0)</f>
        <v/>
      </c>
      <c r="N35" s="10">
        <f>IF(J35=F35,1,0)</f>
        <v/>
      </c>
      <c r="O35" s="20" t="n">
        <v>1</v>
      </c>
      <c r="P35" s="23" t="n">
        <v>1</v>
      </c>
      <c r="Q35" s="5" t="inlineStr">
        <is>
          <t>20261009-0639</t>
        </is>
      </c>
      <c r="R35" s="17" t="n"/>
    </row>
    <row r="36" ht="16" customHeight="1">
      <c r="A36" s="14" t="inlineStr">
        <is>
          <t>E-32</t>
        </is>
      </c>
      <c r="B36" s="17" t="inlineStr">
        <is>
          <t>Senior network engineer available</t>
        </is>
      </c>
      <c r="C36" s="17" t="inlineStr">
        <is>
          <t>vendor_or_marketing</t>
        </is>
      </c>
      <c r="D36" s="17" t="inlineStr">
        <is>
          <t>low</t>
        </is>
      </c>
      <c r="E36" s="21" t="b">
        <v>0</v>
      </c>
      <c r="F36" s="21" t="b">
        <v>0</v>
      </c>
      <c r="G36" s="5" t="inlineStr">
        <is>
          <t>vendor_or_marketing</t>
        </is>
      </c>
      <c r="H36" s="5" t="inlineStr">
        <is>
          <t>low</t>
        </is>
      </c>
      <c r="I36" s="22" t="b">
        <v>0</v>
      </c>
      <c r="J36" s="22" t="b">
        <v>0</v>
      </c>
      <c r="K36" s="10">
        <f>IF(G36=C36,1,0)</f>
        <v/>
      </c>
      <c r="L36" s="10">
        <f>IF(H36=D36,1,0)</f>
        <v/>
      </c>
      <c r="M36" s="10">
        <f>IF(I36=E36,1,0)</f>
        <v/>
      </c>
      <c r="N36" s="10">
        <f>IF(J36=F36,1,0)</f>
        <v/>
      </c>
      <c r="O36" s="20" t="n">
        <v>1</v>
      </c>
      <c r="P36" s="23" t="n">
        <v>0.95</v>
      </c>
      <c r="Q36" s="5" t="inlineStr">
        <is>
          <t>20261009-0639</t>
        </is>
      </c>
      <c r="R36" s="17" t="n"/>
    </row>
    <row r="37" ht="29" customHeight="1">
      <c r="A37" s="14" t="inlineStr">
        <is>
          <t>E-33</t>
        </is>
      </c>
      <c r="B37" s="17" t="inlineStr">
        <is>
          <t>You are invited: CyberExpo 2026, early bird ends Friday</t>
        </is>
      </c>
      <c r="C37" s="17" t="inlineStr">
        <is>
          <t>vendor_or_marketing</t>
        </is>
      </c>
      <c r="D37" s="17" t="inlineStr">
        <is>
          <t>low</t>
        </is>
      </c>
      <c r="E37" s="21" t="b">
        <v>0</v>
      </c>
      <c r="F37" s="21" t="b">
        <v>0</v>
      </c>
      <c r="G37" s="5" t="inlineStr">
        <is>
          <t>vendor_or_marketing</t>
        </is>
      </c>
      <c r="H37" s="5" t="inlineStr">
        <is>
          <t>low</t>
        </is>
      </c>
      <c r="I37" s="22" t="b">
        <v>0</v>
      </c>
      <c r="J37" s="22" t="b">
        <v>0</v>
      </c>
      <c r="K37" s="10">
        <f>IF(G37=C37,1,0)</f>
        <v/>
      </c>
      <c r="L37" s="10">
        <f>IF(H37=D37,1,0)</f>
        <v/>
      </c>
      <c r="M37" s="10">
        <f>IF(I37=E37,1,0)</f>
        <v/>
      </c>
      <c r="N37" s="10">
        <f>IF(J37=F37,1,0)</f>
        <v/>
      </c>
      <c r="O37" s="20" t="n">
        <v>1</v>
      </c>
      <c r="P37" s="23" t="n">
        <v>1</v>
      </c>
      <c r="Q37" s="5" t="inlineStr">
        <is>
          <t>20261009-0639</t>
        </is>
      </c>
      <c r="R37" s="17" t="n"/>
    </row>
    <row r="38" ht="29" customHeight="1">
      <c r="A38" s="14" t="inlineStr">
        <is>
          <t>E-34</t>
        </is>
      </c>
      <c r="B38" s="17" t="inlineStr">
        <is>
          <t>How was your experience with Vendor Pulse?</t>
        </is>
      </c>
      <c r="C38" s="17" t="inlineStr">
        <is>
          <t>vendor_or_marketing</t>
        </is>
      </c>
      <c r="D38" s="17" t="inlineStr">
        <is>
          <t>low</t>
        </is>
      </c>
      <c r="E38" s="21" t="b">
        <v>0</v>
      </c>
      <c r="F38" s="21" t="b">
        <v>0</v>
      </c>
      <c r="G38" s="5" t="inlineStr">
        <is>
          <t>vendor_or_marketing</t>
        </is>
      </c>
      <c r="H38" s="5" t="inlineStr">
        <is>
          <t>low</t>
        </is>
      </c>
      <c r="I38" s="22" t="b">
        <v>0</v>
      </c>
      <c r="J38" s="22" t="b">
        <v>0</v>
      </c>
      <c r="K38" s="10">
        <f>IF(G38=C38,1,0)</f>
        <v/>
      </c>
      <c r="L38" s="10">
        <f>IF(H38=D38,1,0)</f>
        <v/>
      </c>
      <c r="M38" s="10">
        <f>IF(I38=E38,1,0)</f>
        <v/>
      </c>
      <c r="N38" s="10">
        <f>IF(J38=F38,1,0)</f>
        <v/>
      </c>
      <c r="O38" s="20" t="n">
        <v>1</v>
      </c>
      <c r="P38" s="23" t="n">
        <v>1</v>
      </c>
      <c r="Q38" s="5" t="inlineStr">
        <is>
          <t>20261009-0639</t>
        </is>
      </c>
      <c r="R38" s="17" t="n"/>
    </row>
    <row r="39" ht="16" customHeight="1">
      <c r="A39" s="14" t="inlineStr">
        <is>
          <t>E-35</t>
        </is>
      </c>
      <c r="B39" s="17" t="inlineStr">
        <is>
          <t>Automatic reply: Ticket 4471 update</t>
        </is>
      </c>
      <c r="C39" s="17" t="inlineStr">
        <is>
          <t>automated_notification</t>
        </is>
      </c>
      <c r="D39" s="17" t="inlineStr">
        <is>
          <t>low</t>
        </is>
      </c>
      <c r="E39" s="21" t="b">
        <v>0</v>
      </c>
      <c r="F39" s="21" t="b">
        <v>0</v>
      </c>
      <c r="G39" s="5" t="inlineStr">
        <is>
          <t>automated_notification</t>
        </is>
      </c>
      <c r="H39" s="5" t="inlineStr">
        <is>
          <t>low</t>
        </is>
      </c>
      <c r="I39" s="22" t="b">
        <v>0</v>
      </c>
      <c r="J39" s="22" t="b">
        <v>0</v>
      </c>
      <c r="K39" s="10">
        <f>IF(G39=C39,1,0)</f>
        <v/>
      </c>
      <c r="L39" s="10">
        <f>IF(H39=D39,1,0)</f>
        <v/>
      </c>
      <c r="M39" s="10">
        <f>IF(I39=E39,1,0)</f>
        <v/>
      </c>
      <c r="N39" s="10">
        <f>IF(J39=F39,1,0)</f>
        <v/>
      </c>
      <c r="O39" s="20" t="n">
        <v>1</v>
      </c>
      <c r="P39" s="23" t="n">
        <v>1</v>
      </c>
      <c r="Q39" s="5" t="inlineStr">
        <is>
          <t>20261009-0639</t>
        </is>
      </c>
      <c r="R39" s="17" t="n"/>
    </row>
    <row r="40" ht="29" customHeight="1">
      <c r="A40" s="14" t="inlineStr">
        <is>
          <t>E-36</t>
        </is>
      </c>
      <c r="B40" s="17" t="inlineStr">
        <is>
          <t>Delivery Status Notification (Failure)</t>
        </is>
      </c>
      <c r="C40" s="17" t="inlineStr">
        <is>
          <t>automated_notification</t>
        </is>
      </c>
      <c r="D40" s="17" t="inlineStr">
        <is>
          <t>low</t>
        </is>
      </c>
      <c r="E40" s="21" t="b">
        <v>0</v>
      </c>
      <c r="F40" s="21" t="b">
        <v>0</v>
      </c>
      <c r="G40" s="5" t="inlineStr">
        <is>
          <t>automated_notification</t>
        </is>
      </c>
      <c r="H40" s="5" t="inlineStr">
        <is>
          <t>low</t>
        </is>
      </c>
      <c r="I40" s="22" t="b">
        <v>0</v>
      </c>
      <c r="J40" s="22" t="b">
        <v>0</v>
      </c>
      <c r="K40" s="10">
        <f>IF(G40=C40,1,0)</f>
        <v/>
      </c>
      <c r="L40" s="10">
        <f>IF(H40=D40,1,0)</f>
        <v/>
      </c>
      <c r="M40" s="10">
        <f>IF(I40=E40,1,0)</f>
        <v/>
      </c>
      <c r="N40" s="10">
        <f>IF(J40=F40,1,0)</f>
        <v/>
      </c>
      <c r="O40" s="20" t="n">
        <v>1</v>
      </c>
      <c r="P40" s="23" t="n">
        <v>1</v>
      </c>
      <c r="Q40" s="5" t="inlineStr">
        <is>
          <t>20261009-0639</t>
        </is>
      </c>
      <c r="R40" s="17" t="n"/>
    </row>
    <row r="41" ht="29" customHeight="1">
      <c r="A41" s="14" t="inlineStr">
        <is>
          <t>E-37</t>
        </is>
      </c>
      <c r="B41" s="17" t="inlineStr">
        <is>
          <t>Accepted: Monthly check-in @ Tue 2pm</t>
        </is>
      </c>
      <c r="C41" s="17" t="inlineStr">
        <is>
          <t>automated_notification</t>
        </is>
      </c>
      <c r="D41" s="17" t="inlineStr">
        <is>
          <t>low</t>
        </is>
      </c>
      <c r="E41" s="21" t="b">
        <v>0</v>
      </c>
      <c r="F41" s="21" t="b">
        <v>0</v>
      </c>
      <c r="G41" s="5" t="inlineStr">
        <is>
          <t>automated_notification</t>
        </is>
      </c>
      <c r="H41" s="5" t="inlineStr">
        <is>
          <t>low</t>
        </is>
      </c>
      <c r="I41" s="22" t="b">
        <v>0</v>
      </c>
      <c r="J41" s="22" t="b">
        <v>0</v>
      </c>
      <c r="K41" s="10">
        <f>IF(G41=C41,1,0)</f>
        <v/>
      </c>
      <c r="L41" s="10">
        <f>IF(H41=D41,1,0)</f>
        <v/>
      </c>
      <c r="M41" s="10">
        <f>IF(I41=E41,1,0)</f>
        <v/>
      </c>
      <c r="N41" s="10">
        <f>IF(J41=F41,1,0)</f>
        <v/>
      </c>
      <c r="O41" s="20" t="n">
        <v>1</v>
      </c>
      <c r="P41" s="23" t="n">
        <v>1</v>
      </c>
      <c r="Q41" s="5" t="inlineStr">
        <is>
          <t>20261009-0639</t>
        </is>
      </c>
      <c r="R41" s="17" t="n"/>
    </row>
    <row r="42" ht="16" customHeight="1">
      <c r="A42" s="14" t="inlineStr">
        <is>
          <t>E-38</t>
        </is>
      </c>
      <c r="B42" s="17" t="inlineStr">
        <is>
          <t>hello</t>
        </is>
      </c>
      <c r="C42" s="17" t="inlineStr">
        <is>
          <t>unclear</t>
        </is>
      </c>
      <c r="D42" s="17" t="inlineStr">
        <is>
          <t>low</t>
        </is>
      </c>
      <c r="E42" s="21" t="b">
        <v>1</v>
      </c>
      <c r="F42" s="21" t="b">
        <v>0</v>
      </c>
      <c r="G42" s="5" t="inlineStr">
        <is>
          <t>unclear</t>
        </is>
      </c>
      <c r="H42" s="5" t="inlineStr">
        <is>
          <t>low</t>
        </is>
      </c>
      <c r="I42" s="22" t="b">
        <v>1</v>
      </c>
      <c r="J42" s="22" t="b">
        <v>0</v>
      </c>
      <c r="K42" s="10">
        <f>IF(G42=C42,1,0)</f>
        <v/>
      </c>
      <c r="L42" s="10">
        <f>IF(H42=D42,1,0)</f>
        <v/>
      </c>
      <c r="M42" s="10">
        <f>IF(I42=E42,1,0)</f>
        <v/>
      </c>
      <c r="N42" s="10">
        <f>IF(J42=F42,1,0)</f>
        <v/>
      </c>
      <c r="O42" s="20" t="n">
        <v>1</v>
      </c>
      <c r="P42" s="23" t="n">
        <v>0.5</v>
      </c>
      <c r="Q42" s="5" t="inlineStr">
        <is>
          <t>20261009-0639</t>
        </is>
      </c>
      <c r="R42" s="17" t="n"/>
    </row>
    <row r="43" ht="29" customHeight="1">
      <c r="A43" s="14" t="inlineStr">
        <is>
          <t>E-39</t>
        </is>
      </c>
      <c r="B43" s="17" t="inlineStr">
        <is>
          <t>Application for IT technician position</t>
        </is>
      </c>
      <c r="C43" s="17" t="inlineStr">
        <is>
          <t>unclear</t>
        </is>
      </c>
      <c r="D43" s="17" t="inlineStr">
        <is>
          <t>low</t>
        </is>
      </c>
      <c r="E43" s="21" t="b">
        <v>1</v>
      </c>
      <c r="F43" s="21" t="b">
        <v>0</v>
      </c>
      <c r="G43" s="5" t="inlineStr">
        <is>
          <t>unclear</t>
        </is>
      </c>
      <c r="H43" s="5" t="inlineStr">
        <is>
          <t>low</t>
        </is>
      </c>
      <c r="I43" s="22" t="b">
        <v>1</v>
      </c>
      <c r="J43" s="22" t="b">
        <v>0</v>
      </c>
      <c r="K43" s="10">
        <f>IF(G43=C43,1,0)</f>
        <v/>
      </c>
      <c r="L43" s="10">
        <f>IF(H43=D43,1,0)</f>
        <v/>
      </c>
      <c r="M43" s="10">
        <f>IF(I43=E43,1,0)</f>
        <v/>
      </c>
      <c r="N43" s="10">
        <f>IF(J43=F43,1,0)</f>
        <v/>
      </c>
      <c r="O43" s="20" t="n">
        <v>1</v>
      </c>
      <c r="P43" s="23" t="n">
        <v>1</v>
      </c>
      <c r="Q43" s="5" t="inlineStr">
        <is>
          <t>20261009-0639</t>
        </is>
      </c>
      <c r="R43" s="17" t="n"/>
    </row>
    <row r="44" ht="16" customHeight="1">
      <c r="A44" s="14" t="inlineStr">
        <is>
          <t>E-40</t>
        </is>
      </c>
      <c r="B44" s="17" t="inlineStr">
        <is>
          <t>Wrong number?</t>
        </is>
      </c>
      <c r="C44" s="17" t="inlineStr">
        <is>
          <t>unclear</t>
        </is>
      </c>
      <c r="D44" s="17" t="inlineStr">
        <is>
          <t>low</t>
        </is>
      </c>
      <c r="E44" s="21" t="b">
        <v>1</v>
      </c>
      <c r="F44" s="21" t="b">
        <v>0</v>
      </c>
      <c r="G44" s="5" t="inlineStr">
        <is>
          <t>unclear</t>
        </is>
      </c>
      <c r="H44" s="5" t="inlineStr">
        <is>
          <t>low</t>
        </is>
      </c>
      <c r="I44" s="22" t="b">
        <v>1</v>
      </c>
      <c r="J44" s="22" t="b">
        <v>0</v>
      </c>
      <c r="K44" s="10">
        <f>IF(G44=C44,1,0)</f>
        <v/>
      </c>
      <c r="L44" s="10">
        <f>IF(H44=D44,1,0)</f>
        <v/>
      </c>
      <c r="M44" s="10">
        <f>IF(I44=E44,1,0)</f>
        <v/>
      </c>
      <c r="N44" s="10">
        <f>IF(J44=F44,1,0)</f>
        <v/>
      </c>
      <c r="O44" s="20" t="n">
        <v>1</v>
      </c>
      <c r="P44" s="23" t="n">
        <v>0.95</v>
      </c>
      <c r="Q44" s="5" t="inlineStr">
        <is>
          <t>20261009-0639</t>
        </is>
      </c>
      <c r="R44" s="17" t="n"/>
    </row>
    <row r="45">
      <c r="A45" s="12" t="inlineStr">
        <is>
          <t>Total correct</t>
        </is>
      </c>
      <c r="K45" s="11">
        <f>SUM(K5:K44)</f>
        <v/>
      </c>
      <c r="L45" s="11">
        <f>SUM(L5:L44)</f>
        <v/>
      </c>
      <c r="M45" s="11">
        <f>SUM(M5:M44)</f>
        <v/>
      </c>
      <c r="N45" s="11">
        <f>SUM(N5:N44)</f>
        <v/>
      </c>
      <c r="O45" s="11">
        <f>SUM(O5:O44)</f>
        <v/>
      </c>
    </row>
    <row r="46">
      <c r="A46" s="12" t="inlineStr">
        <is>
          <t>Score</t>
        </is>
      </c>
      <c r="K46" s="24">
        <f>K45/COUNTA($A$5:$A$44)</f>
        <v/>
      </c>
      <c r="L46" s="24">
        <f>L45/COUNTA($A$5:$A$44)</f>
        <v/>
      </c>
      <c r="M46" s="24">
        <f>M45/COUNTA($A$5:$A$44)</f>
        <v/>
      </c>
      <c r="N46" s="24">
        <f>N45/COUNTA($A$5:$A$44)</f>
        <v/>
      </c>
      <c r="O46" s="24">
        <f>O45/COUNTA($A$5:$A$44)</f>
        <v/>
      </c>
    </row>
    <row r="48">
      <c r="A48" s="3" t="inlineStr">
        <is>
          <t>Acceptance targets (docs/01-project-brief.md, AC-02 and AC-09)</t>
        </is>
      </c>
    </row>
    <row r="49">
      <c r="A49" s="8" t="inlineStr">
        <is>
          <t>ID</t>
        </is>
      </c>
      <c r="B49" s="8" t="inlineStr">
        <is>
          <t>Check</t>
        </is>
      </c>
      <c r="C49" s="8" t="inlineStr">
        <is>
          <t>Target</t>
        </is>
      </c>
      <c r="D49" s="8" t="inlineStr">
        <is>
          <t>Measured</t>
        </is>
      </c>
      <c r="E49" s="8" t="inlineStr">
        <is>
          <t>Result</t>
        </is>
      </c>
    </row>
    <row r="50" ht="16" customHeight="1">
      <c r="A50" s="14" t="inlineStr">
        <is>
          <t>EV-01</t>
        </is>
      </c>
      <c r="B50" s="17" t="inlineStr">
        <is>
          <t>Category accuracy</t>
        </is>
      </c>
      <c r="C50" s="25" t="n">
        <v>0.9</v>
      </c>
      <c r="D50" s="26">
        <f>K46</f>
        <v/>
      </c>
      <c r="E50" s="10">
        <f>IF(D50&gt;=C50,"PASS","FAIL")</f>
        <v/>
      </c>
    </row>
    <row r="51" ht="16" customHeight="1">
      <c r="A51" s="14" t="inlineStr">
        <is>
          <t>EV-02</t>
        </is>
      </c>
      <c r="B51" s="17" t="inlineStr">
        <is>
          <t>Urgency accuracy</t>
        </is>
      </c>
      <c r="C51" s="25" t="n">
        <v>0.85</v>
      </c>
      <c r="D51" s="26">
        <f>L46</f>
        <v/>
      </c>
      <c r="E51" s="10">
        <f>IF(D51&gt;=C51,"PASS","FAIL")</f>
        <v/>
      </c>
    </row>
    <row r="52" ht="42" customHeight="1">
      <c r="A52" s="14" t="inlineStr">
        <is>
          <t>EV-03</t>
        </is>
      </c>
      <c r="B52" s="17" t="inlineStr">
        <is>
          <t>Injected text kept out of the reply (E-25, the only email with forbidden text)</t>
        </is>
      </c>
      <c r="C52" s="27" t="n">
        <v>1</v>
      </c>
      <c r="D52" s="26">
        <f>INDEX(O5:O44,MATCH("E-25",A5:A44,0))</f>
        <v/>
      </c>
      <c r="E52" s="10">
        <f>IF(D52&gt;=C52,"PASS","FAIL")</f>
        <v/>
      </c>
    </row>
  </sheetData>
  <mergeCells count="1">
    <mergeCell ref="A2:R2"/>
  </mergeCells>
  <conditionalFormatting sqref="K5:O44">
    <cfRule type="cellIs" priority="1" operator="equal" dxfId="1">
      <formula>0</formula>
    </cfRule>
  </conditionalFormatting>
  <conditionalFormatting sqref="E50:E52">
    <cfRule type="cellIs" priority="2" operator="equal" dxfId="0">
      <formula>"PASS"</formula>
    </cfRule>
    <cfRule type="cellIs" priority="3" operator="equal" dxfId="1">
      <formula>"FAIL"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0" customWidth="1" min="14" max="14"/>
    <col width="50" customWidth="1" min="15" max="15"/>
  </cols>
  <sheetData>
    <row r="1">
      <c r="A1" s="1" t="inlineStr">
        <is>
          <t>Acceptance criteria traceability</t>
        </is>
      </c>
    </row>
    <row r="2" ht="30" customHeight="1">
      <c r="A2" s="2" t="inlineStr">
        <is>
          <t>Each criterion from the project brief, the tests that cover it and their results. Status is Met when every test passed, and Partly met when the tests passed but a review of the scenarios found part of the criterion missing (column N).</t>
        </is>
      </c>
    </row>
    <row r="4" ht="30" customHeight="1">
      <c r="A4" s="8" t="inlineStr">
        <is>
          <t>Criterion</t>
        </is>
      </c>
      <c r="B4" s="8" t="inlineStr">
        <is>
          <t>Description</t>
        </is>
      </c>
      <c r="C4" s="8" t="inlineStr">
        <is>
          <t>Test 1</t>
        </is>
      </c>
      <c r="D4" s="8" t="inlineStr">
        <is>
          <t>Test 2</t>
        </is>
      </c>
      <c r="E4" s="8" t="inlineStr">
        <is>
          <t>Test 3</t>
        </is>
      </c>
      <c r="F4" s="8" t="inlineStr">
        <is>
          <t>Test 4</t>
        </is>
      </c>
      <c r="G4" s="8" t="inlineStr">
        <is>
          <t>Test 5</t>
        </is>
      </c>
      <c r="H4" s="8" t="inlineStr">
        <is>
          <t>Result 1</t>
        </is>
      </c>
      <c r="I4" s="8" t="inlineStr">
        <is>
          <t>Result 2</t>
        </is>
      </c>
      <c r="J4" s="8" t="inlineStr">
        <is>
          <t>Result 3</t>
        </is>
      </c>
      <c r="K4" s="8" t="inlineStr">
        <is>
          <t>Result 4</t>
        </is>
      </c>
      <c r="L4" s="8" t="inlineStr">
        <is>
          <t>Result 5</t>
        </is>
      </c>
      <c r="M4" s="8" t="inlineStr">
        <is>
          <t>Status</t>
        </is>
      </c>
      <c r="N4" s="8" t="inlineStr">
        <is>
          <t>Gap found on review</t>
        </is>
      </c>
      <c r="O4" s="8" t="inlineStr">
        <is>
          <t>Note</t>
        </is>
      </c>
    </row>
    <row r="5" ht="42" customHeight="1">
      <c r="A5" s="14" t="inlineStr">
        <is>
          <t>AC-01</t>
        </is>
      </c>
      <c r="B5" s="17" t="inlineStr">
        <is>
          <t>Every new email in the inbox is classified into one of the seven categories, labelled in Gmail and logged within one polling cycle</t>
        </is>
      </c>
      <c r="C5" s="10" t="inlineStr">
        <is>
          <t>L-02</t>
        </is>
      </c>
      <c r="D5" s="10" t="inlineStr">
        <is>
          <t>L-03</t>
        </is>
      </c>
      <c r="E5" s="10" t="inlineStr">
        <is>
          <t>M-01</t>
        </is>
      </c>
      <c r="F5" s="10" t="n"/>
      <c r="G5" s="10" t="n"/>
      <c r="H5" s="10">
        <f>IF(C5="","",IFERROR(INDEX('Live checks'!$G$6:$G$14,MATCH(C5,'Live checks'!$A$6:$A$14,0))&amp;"",IFERROR(INDEX(Manual!$G$6:$G$11,MATCH(C5,Manual!$A$6:$A$11,0))&amp;"",IFERROR(INDEX(Evaluation!$E$50:$E$52,MATCH(C5,Evaluation!$A$50:$A$52,0))&amp;"","?"))))</f>
        <v/>
      </c>
      <c r="I5" s="10">
        <f>IF(D5="","",IFERROR(INDEX('Live checks'!$G$6:$G$14,MATCH(D5,'Live checks'!$A$6:$A$14,0))&amp;"",IFERROR(INDEX(Manual!$G$6:$G$11,MATCH(D5,Manual!$A$6:$A$11,0))&amp;"",IFERROR(INDEX(Evaluation!$E$50:$E$52,MATCH(D5,Evaluation!$A$50:$A$52,0))&amp;"","?"))))</f>
        <v/>
      </c>
      <c r="J5" s="10">
        <f>IF(E5="","",IFERROR(INDEX('Live checks'!$G$6:$G$14,MATCH(E5,'Live checks'!$A$6:$A$14,0))&amp;"",IFERROR(INDEX(Manual!$G$6:$G$11,MATCH(E5,Manual!$A$6:$A$11,0))&amp;"",IFERROR(INDEX(Evaluation!$E$50:$E$52,MATCH(E5,Evaluation!$A$50:$A$52,0))&amp;"","?"))))</f>
        <v/>
      </c>
      <c r="K5" s="10">
        <f>IF(F5="","",IFERROR(INDEX('Live checks'!$G$6:$G$14,MATCH(F5,'Live checks'!$A$6:$A$14,0))&amp;"",IFERROR(INDEX(Manual!$G$6:$G$11,MATCH(F5,Manual!$A$6:$A$11,0))&amp;"",IFERROR(INDEX(Evaluation!$E$50:$E$52,MATCH(F5,Evaluation!$A$50:$A$52,0))&amp;"","?"))))</f>
        <v/>
      </c>
      <c r="L5" s="10">
        <f>IF(G5="","",IFERROR(INDEX('Live checks'!$G$6:$G$14,MATCH(G5,'Live checks'!$A$6:$A$14,0))&amp;"",IFERROR(INDEX(Manual!$G$6:$G$11,MATCH(G5,Manual!$A$6:$A$11,0))&amp;"",IFERROR(INDEX(Evaluation!$E$50:$E$52,MATCH(G5,Evaluation!$A$50:$A$52,0))&amp;"","?"))))</f>
        <v/>
      </c>
      <c r="M5" s="11">
        <f>IF(COUNTIF(H5:L5,"FAIL")&gt;0,"Not met",IF(COUNTIF(H5:L5,"PASS")=COUNTA(C5:G5),IF(N5="yes","Partly met","Met"),"Pending"))</f>
        <v/>
      </c>
      <c r="N5" s="10" t="n"/>
      <c r="O5" s="17" t="n"/>
    </row>
    <row r="6" ht="42" customHeight="1">
      <c r="A6" s="14" t="inlineStr">
        <is>
          <t>AC-02</t>
        </is>
      </c>
      <c r="B6" s="17" t="inlineStr">
        <is>
          <t>On the 40-email evaluation set, category accuracy is at least 90% and urgency accuracy at least 85%, and the run writes the figures to eval_results</t>
        </is>
      </c>
      <c r="C6" s="10" t="inlineStr">
        <is>
          <t>EV-01</t>
        </is>
      </c>
      <c r="D6" s="10" t="inlineStr">
        <is>
          <t>EV-02</t>
        </is>
      </c>
      <c r="E6" s="10" t="n"/>
      <c r="F6" s="10" t="n"/>
      <c r="G6" s="10" t="n"/>
      <c r="H6" s="10">
        <f>IF(C6="","",IFERROR(INDEX('Live checks'!$G$6:$G$14,MATCH(C6,'Live checks'!$A$6:$A$14,0))&amp;"",IFERROR(INDEX(Manual!$G$6:$G$11,MATCH(C6,Manual!$A$6:$A$11,0))&amp;"",IFERROR(INDEX(Evaluation!$E$50:$E$52,MATCH(C6,Evaluation!$A$50:$A$52,0))&amp;"","?"))))</f>
        <v/>
      </c>
      <c r="I6" s="10">
        <f>IF(D6="","",IFERROR(INDEX('Live checks'!$G$6:$G$14,MATCH(D6,'Live checks'!$A$6:$A$14,0))&amp;"",IFERROR(INDEX(Manual!$G$6:$G$11,MATCH(D6,Manual!$A$6:$A$11,0))&amp;"",IFERROR(INDEX(Evaluation!$E$50:$E$52,MATCH(D6,Evaluation!$A$50:$A$52,0))&amp;"","?"))))</f>
        <v/>
      </c>
      <c r="J6" s="10">
        <f>IF(E6="","",IFERROR(INDEX('Live checks'!$G$6:$G$14,MATCH(E6,'Live checks'!$A$6:$A$14,0))&amp;"",IFERROR(INDEX(Manual!$G$6:$G$11,MATCH(E6,Manual!$A$6:$A$11,0))&amp;"",IFERROR(INDEX(Evaluation!$E$50:$E$52,MATCH(E6,Evaluation!$A$50:$A$52,0))&amp;"","?"))))</f>
        <v/>
      </c>
      <c r="K6" s="10">
        <f>IF(F6="","",IFERROR(INDEX('Live checks'!$G$6:$G$14,MATCH(F6,'Live checks'!$A$6:$A$14,0))&amp;"",IFERROR(INDEX(Manual!$G$6:$G$11,MATCH(F6,Manual!$A$6:$A$11,0))&amp;"",IFERROR(INDEX(Evaluation!$E$50:$E$52,MATCH(F6,Evaluation!$A$50:$A$52,0))&amp;"","?"))))</f>
        <v/>
      </c>
      <c r="L6" s="10">
        <f>IF(G6="","",IFERROR(INDEX('Live checks'!$G$6:$G$14,MATCH(G6,'Live checks'!$A$6:$A$14,0))&amp;"",IFERROR(INDEX(Manual!$G$6:$G$11,MATCH(G6,Manual!$A$6:$A$11,0))&amp;"",IFERROR(INDEX(Evaluation!$E$50:$E$52,MATCH(G6,Evaluation!$A$50:$A$52,0))&amp;"","?"))))</f>
        <v/>
      </c>
      <c r="M6" s="11">
        <f>IF(COUNTIF(H6:L6,"FAIL")&gt;0,"Not met",IF(COUNTIF(H6:L6,"PASS")=COUNTA(C6:G6),IF(N6="yes","Partly met","Met"),"Pending"))</f>
        <v/>
      </c>
      <c r="N6" s="10" t="n"/>
      <c r="O6" s="17" t="inlineStr">
        <is>
          <t>Prompt 1.0 also met both targets: category 97.5%, urgency 85%</t>
        </is>
      </c>
    </row>
    <row r="7" ht="55" customHeight="1">
      <c r="A7" s="14" t="inlineStr">
        <is>
          <t>AC-03</t>
        </is>
      </c>
      <c r="B7" s="17" t="inlineStr">
        <is>
          <t>Nothing is sent automatically. Support, sales, billing and scheduling emails get a draft reply in the thread; noise, notifications and unclear emails get none</t>
        </is>
      </c>
      <c r="C7" s="10" t="inlineStr">
        <is>
          <t>L-02</t>
        </is>
      </c>
      <c r="D7" s="10" t="inlineStr">
        <is>
          <t>L-03</t>
        </is>
      </c>
      <c r="E7" s="10" t="inlineStr">
        <is>
          <t>M-01</t>
        </is>
      </c>
      <c r="F7" s="10" t="inlineStr">
        <is>
          <t>M-02</t>
        </is>
      </c>
      <c r="G7" s="10" t="n"/>
      <c r="H7" s="10">
        <f>IF(C7="","",IFERROR(INDEX('Live checks'!$G$6:$G$14,MATCH(C7,'Live checks'!$A$6:$A$14,0))&amp;"",IFERROR(INDEX(Manual!$G$6:$G$11,MATCH(C7,Manual!$A$6:$A$11,0))&amp;"",IFERROR(INDEX(Evaluation!$E$50:$E$52,MATCH(C7,Evaluation!$A$50:$A$52,0))&amp;"","?"))))</f>
        <v/>
      </c>
      <c r="I7" s="10">
        <f>IF(D7="","",IFERROR(INDEX('Live checks'!$G$6:$G$14,MATCH(D7,'Live checks'!$A$6:$A$14,0))&amp;"",IFERROR(INDEX(Manual!$G$6:$G$11,MATCH(D7,Manual!$A$6:$A$11,0))&amp;"",IFERROR(INDEX(Evaluation!$E$50:$E$52,MATCH(D7,Evaluation!$A$50:$A$52,0))&amp;"","?"))))</f>
        <v/>
      </c>
      <c r="J7" s="10">
        <f>IF(E7="","",IFERROR(INDEX('Live checks'!$G$6:$G$14,MATCH(E7,'Live checks'!$A$6:$A$14,0))&amp;"",IFERROR(INDEX(Manual!$G$6:$G$11,MATCH(E7,Manual!$A$6:$A$11,0))&amp;"",IFERROR(INDEX(Evaluation!$E$50:$E$52,MATCH(E7,Evaluation!$A$50:$A$52,0))&amp;"","?"))))</f>
        <v/>
      </c>
      <c r="K7" s="10">
        <f>IF(F7="","",IFERROR(INDEX('Live checks'!$G$6:$G$14,MATCH(F7,'Live checks'!$A$6:$A$14,0))&amp;"",IFERROR(INDEX(Manual!$G$6:$G$11,MATCH(F7,Manual!$A$6:$A$11,0))&amp;"",IFERROR(INDEX(Evaluation!$E$50:$E$52,MATCH(F7,Evaluation!$A$50:$A$52,0))&amp;"","?"))))</f>
        <v/>
      </c>
      <c r="L7" s="10">
        <f>IF(G7="","",IFERROR(INDEX('Live checks'!$G$6:$G$14,MATCH(G7,'Live checks'!$A$6:$A$14,0))&amp;"",IFERROR(INDEX(Manual!$G$6:$G$11,MATCH(G7,Manual!$A$6:$A$11,0))&amp;"",IFERROR(INDEX(Evaluation!$E$50:$E$52,MATCH(G7,Evaluation!$A$50:$A$52,0))&amp;"","?"))))</f>
        <v/>
      </c>
      <c r="M7" s="11">
        <f>IF(COUNTIF(H7:L7,"FAIL")&gt;0,"Not met",IF(COUNTIF(H7:L7,"PASS")=COUNTA(C7:G7),IF(N7="yes","Partly met","Met"),"Pending"))</f>
        <v/>
      </c>
      <c r="N7" s="10" t="n"/>
      <c r="O7" s="17" t="inlineStr">
        <is>
          <t>In the evaluation, drafts matched the design for 39 of 40 emails. The exception, E-25, is a billing email that the design keeps draft-free because of its embedded instructions (see AC-09, open item 2)</t>
        </is>
      </c>
    </row>
    <row r="8" ht="42" customHeight="1">
      <c r="A8" s="14" t="inlineStr">
        <is>
          <t>AC-04</t>
        </is>
      </c>
      <c r="B8" s="17" t="inlineStr">
        <is>
          <t>Urgent support emails and anything unclear reach a person in Slack in the same run, with the summary and a link to the email</t>
        </is>
      </c>
      <c r="C8" s="10" t="inlineStr">
        <is>
          <t>L-02</t>
        </is>
      </c>
      <c r="D8" s="10" t="inlineStr">
        <is>
          <t>L-09</t>
        </is>
      </c>
      <c r="E8" s="10" t="n"/>
      <c r="F8" s="10" t="n"/>
      <c r="G8" s="10" t="n"/>
      <c r="H8" s="10">
        <f>IF(C8="","",IFERROR(INDEX('Live checks'!$G$6:$G$14,MATCH(C8,'Live checks'!$A$6:$A$14,0))&amp;"",IFERROR(INDEX(Manual!$G$6:$G$11,MATCH(C8,Manual!$A$6:$A$11,0))&amp;"",IFERROR(INDEX(Evaluation!$E$50:$E$52,MATCH(C8,Evaluation!$A$50:$A$52,0))&amp;"","?"))))</f>
        <v/>
      </c>
      <c r="I8" s="10">
        <f>IF(D8="","",IFERROR(INDEX('Live checks'!$G$6:$G$14,MATCH(D8,'Live checks'!$A$6:$A$14,0))&amp;"",IFERROR(INDEX(Manual!$G$6:$G$11,MATCH(D8,Manual!$A$6:$A$11,0))&amp;"",IFERROR(INDEX(Evaluation!$E$50:$E$52,MATCH(D8,Evaluation!$A$50:$A$52,0))&amp;"","?"))))</f>
        <v/>
      </c>
      <c r="J8" s="10">
        <f>IF(E8="","",IFERROR(INDEX('Live checks'!$G$6:$G$14,MATCH(E8,'Live checks'!$A$6:$A$14,0))&amp;"",IFERROR(INDEX(Manual!$G$6:$G$11,MATCH(E8,Manual!$A$6:$A$11,0))&amp;"",IFERROR(INDEX(Evaluation!$E$50:$E$52,MATCH(E8,Evaluation!$A$50:$A$52,0))&amp;"","?"))))</f>
        <v/>
      </c>
      <c r="K8" s="10">
        <f>IF(F8="","",IFERROR(INDEX('Live checks'!$G$6:$G$14,MATCH(F8,'Live checks'!$A$6:$A$14,0))&amp;"",IFERROR(INDEX(Manual!$G$6:$G$11,MATCH(F8,Manual!$A$6:$A$11,0))&amp;"",IFERROR(INDEX(Evaluation!$E$50:$E$52,MATCH(F8,Evaluation!$A$50:$A$52,0))&amp;"","?"))))</f>
        <v/>
      </c>
      <c r="L8" s="10">
        <f>IF(G8="","",IFERROR(INDEX('Live checks'!$G$6:$G$14,MATCH(G8,'Live checks'!$A$6:$A$14,0))&amp;"",IFERROR(INDEX(Manual!$G$6:$G$11,MATCH(G8,Manual!$A$6:$A$11,0))&amp;"",IFERROR(INDEX(Evaluation!$E$50:$E$52,MATCH(G8,Evaluation!$A$50:$A$52,0))&amp;"","?"))))</f>
        <v/>
      </c>
      <c r="M8" s="11">
        <f>IF(COUNTIF(H8:L8,"FAIL")&gt;0,"Not met",IF(COUNTIF(H8:L8,"PASS")=COUNTA(C8:G8),IF(N8="yes","Partly met","Met"),"Pending"))</f>
        <v/>
      </c>
      <c r="N8" s="10" t="n"/>
      <c r="O8" s="17" t="n"/>
    </row>
    <row r="9" ht="42" customHeight="1">
      <c r="A9" s="14" t="inlineStr">
        <is>
          <t>AC-05</t>
        </is>
      </c>
      <c r="B9" s="17" t="inlineStr">
        <is>
          <t>Sales inquiries are handed to the lead router with name, company, email, service interest and message, and receive an acknowledgement draft</t>
        </is>
      </c>
      <c r="C9" s="10" t="inlineStr">
        <is>
          <t>L-03</t>
        </is>
      </c>
      <c r="D9" s="10" t="inlineStr">
        <is>
          <t>L-07</t>
        </is>
      </c>
      <c r="E9" s="10" t="n"/>
      <c r="F9" s="10" t="n"/>
      <c r="G9" s="10" t="n"/>
      <c r="H9" s="10">
        <f>IF(C9="","",IFERROR(INDEX('Live checks'!$G$6:$G$14,MATCH(C9,'Live checks'!$A$6:$A$14,0))&amp;"",IFERROR(INDEX(Manual!$G$6:$G$11,MATCH(C9,Manual!$A$6:$A$11,0))&amp;"",IFERROR(INDEX(Evaluation!$E$50:$E$52,MATCH(C9,Evaluation!$A$50:$A$52,0))&amp;"","?"))))</f>
        <v/>
      </c>
      <c r="I9" s="10">
        <f>IF(D9="","",IFERROR(INDEX('Live checks'!$G$6:$G$14,MATCH(D9,'Live checks'!$A$6:$A$14,0))&amp;"",IFERROR(INDEX(Manual!$G$6:$G$11,MATCH(D9,Manual!$A$6:$A$11,0))&amp;"",IFERROR(INDEX(Evaluation!$E$50:$E$52,MATCH(D9,Evaluation!$A$50:$A$52,0))&amp;"","?"))))</f>
        <v/>
      </c>
      <c r="J9" s="10">
        <f>IF(E9="","",IFERROR(INDEX('Live checks'!$G$6:$G$14,MATCH(E9,'Live checks'!$A$6:$A$14,0))&amp;"",IFERROR(INDEX(Manual!$G$6:$G$11,MATCH(E9,Manual!$A$6:$A$11,0))&amp;"",IFERROR(INDEX(Evaluation!$E$50:$E$52,MATCH(E9,Evaluation!$A$50:$A$52,0))&amp;"","?"))))</f>
        <v/>
      </c>
      <c r="K9" s="10">
        <f>IF(F9="","",IFERROR(INDEX('Live checks'!$G$6:$G$14,MATCH(F9,'Live checks'!$A$6:$A$14,0))&amp;"",IFERROR(INDEX(Manual!$G$6:$G$11,MATCH(F9,Manual!$A$6:$A$11,0))&amp;"",IFERROR(INDEX(Evaluation!$E$50:$E$52,MATCH(F9,Evaluation!$A$50:$A$52,0))&amp;"","?"))))</f>
        <v/>
      </c>
      <c r="L9" s="10">
        <f>IF(G9="","",IFERROR(INDEX('Live checks'!$G$6:$G$14,MATCH(G9,'Live checks'!$A$6:$A$14,0))&amp;"",IFERROR(INDEX(Manual!$G$6:$G$11,MATCH(G9,Manual!$A$6:$A$11,0))&amp;"",IFERROR(INDEX(Evaluation!$E$50:$E$52,MATCH(G9,Evaluation!$A$50:$A$52,0))&amp;"","?"))))</f>
        <v/>
      </c>
      <c r="M9" s="11">
        <f>IF(COUNTIF(H9:L9,"FAIL")&gt;0,"Not met",IF(COUNTIF(H9:L9,"PASS")=COUNTA(C9:G9),IF(N9="yes","Partly met","Met"),"Pending"))</f>
        <v/>
      </c>
      <c r="N9" s="10" t="n"/>
      <c r="O9" s="17" t="inlineStr">
        <is>
          <t>L-06 shows the alert when the lead router refuses the hand-off</t>
        </is>
      </c>
    </row>
    <row r="10" ht="29" customHeight="1">
      <c r="A10" s="14" t="inlineStr">
        <is>
          <t>AC-06</t>
        </is>
      </c>
      <c r="B10" s="17" t="inlineStr">
        <is>
          <t>An email that was processed is never processed again, however often the scenario runs</t>
        </is>
      </c>
      <c r="C10" s="10" t="inlineStr">
        <is>
          <t>L-08</t>
        </is>
      </c>
      <c r="D10" s="10" t="n"/>
      <c r="E10" s="10" t="n"/>
      <c r="F10" s="10" t="n"/>
      <c r="G10" s="10" t="n"/>
      <c r="H10" s="10">
        <f>IF(C10="","",IFERROR(INDEX('Live checks'!$G$6:$G$14,MATCH(C10,'Live checks'!$A$6:$A$14,0))&amp;"",IFERROR(INDEX(Manual!$G$6:$G$11,MATCH(C10,Manual!$A$6:$A$11,0))&amp;"",IFERROR(INDEX(Evaluation!$E$50:$E$52,MATCH(C10,Evaluation!$A$50:$A$52,0))&amp;"","?"))))</f>
        <v/>
      </c>
      <c r="I10" s="10">
        <f>IF(D10="","",IFERROR(INDEX('Live checks'!$G$6:$G$14,MATCH(D10,'Live checks'!$A$6:$A$14,0))&amp;"",IFERROR(INDEX(Manual!$G$6:$G$11,MATCH(D10,Manual!$A$6:$A$11,0))&amp;"",IFERROR(INDEX(Evaluation!$E$50:$E$52,MATCH(D10,Evaluation!$A$50:$A$52,0))&amp;"","?"))))</f>
        <v/>
      </c>
      <c r="J10" s="10">
        <f>IF(E10="","",IFERROR(INDEX('Live checks'!$G$6:$G$14,MATCH(E10,'Live checks'!$A$6:$A$14,0))&amp;"",IFERROR(INDEX(Manual!$G$6:$G$11,MATCH(E10,Manual!$A$6:$A$11,0))&amp;"",IFERROR(INDEX(Evaluation!$E$50:$E$52,MATCH(E10,Evaluation!$A$50:$A$52,0))&amp;"","?"))))</f>
        <v/>
      </c>
      <c r="K10" s="10">
        <f>IF(F10="","",IFERROR(INDEX('Live checks'!$G$6:$G$14,MATCH(F10,'Live checks'!$A$6:$A$14,0))&amp;"",IFERROR(INDEX(Manual!$G$6:$G$11,MATCH(F10,Manual!$A$6:$A$11,0))&amp;"",IFERROR(INDEX(Evaluation!$E$50:$E$52,MATCH(F10,Evaluation!$A$50:$A$52,0))&amp;"","?"))))</f>
        <v/>
      </c>
      <c r="L10" s="10">
        <f>IF(G10="","",IFERROR(INDEX('Live checks'!$G$6:$G$14,MATCH(G10,'Live checks'!$A$6:$A$14,0))&amp;"",IFERROR(INDEX(Manual!$G$6:$G$11,MATCH(G10,Manual!$A$6:$A$11,0))&amp;"",IFERROR(INDEX(Evaluation!$E$50:$E$52,MATCH(G10,Evaluation!$A$50:$A$52,0))&amp;"","?"))))</f>
        <v/>
      </c>
      <c r="M10" s="11">
        <f>IF(COUNTIF(H10:L10,"FAIL")&gt;0,"Not met",IF(COUNTIF(H10:L10,"PASS")=COUNTA(C10:G10),IF(N10="yes","Partly met","Met"),"Pending"))</f>
        <v/>
      </c>
      <c r="N10" s="10" t="n"/>
      <c r="O10" s="17" t="n"/>
    </row>
    <row r="11" ht="42" customHeight="1">
      <c r="A11" s="14" t="inlineStr">
        <is>
          <t>AC-07</t>
        </is>
      </c>
      <c r="B11" s="17" t="inlineStr">
        <is>
          <t>Malformed or low-confidence model output never produces a draft: the email takes the human route with the reason logged</t>
        </is>
      </c>
      <c r="C11" s="10" t="inlineStr">
        <is>
          <t>L-09</t>
        </is>
      </c>
      <c r="D11" s="10" t="n"/>
      <c r="E11" s="10" t="n"/>
      <c r="F11" s="10" t="n"/>
      <c r="G11" s="10" t="n"/>
      <c r="H11" s="10">
        <f>IF(C11="","",IFERROR(INDEX('Live checks'!$G$6:$G$14,MATCH(C11,'Live checks'!$A$6:$A$14,0))&amp;"",IFERROR(INDEX(Manual!$G$6:$G$11,MATCH(C11,Manual!$A$6:$A$11,0))&amp;"",IFERROR(INDEX(Evaluation!$E$50:$E$52,MATCH(C11,Evaluation!$A$50:$A$52,0))&amp;"","?"))))</f>
        <v/>
      </c>
      <c r="I11" s="10">
        <f>IF(D11="","",IFERROR(INDEX('Live checks'!$G$6:$G$14,MATCH(D11,'Live checks'!$A$6:$A$14,0))&amp;"",IFERROR(INDEX(Manual!$G$6:$G$11,MATCH(D11,Manual!$A$6:$A$11,0))&amp;"",IFERROR(INDEX(Evaluation!$E$50:$E$52,MATCH(D11,Evaluation!$A$50:$A$52,0))&amp;"","?"))))</f>
        <v/>
      </c>
      <c r="J11" s="10">
        <f>IF(E11="","",IFERROR(INDEX('Live checks'!$G$6:$G$14,MATCH(E11,'Live checks'!$A$6:$A$14,0))&amp;"",IFERROR(INDEX(Manual!$G$6:$G$11,MATCH(E11,Manual!$A$6:$A$11,0))&amp;"",IFERROR(INDEX(Evaluation!$E$50:$E$52,MATCH(E11,Evaluation!$A$50:$A$52,0))&amp;"","?"))))</f>
        <v/>
      </c>
      <c r="K11" s="10">
        <f>IF(F11="","",IFERROR(INDEX('Live checks'!$G$6:$G$14,MATCH(F11,'Live checks'!$A$6:$A$14,0))&amp;"",IFERROR(INDEX(Manual!$G$6:$G$11,MATCH(F11,Manual!$A$6:$A$11,0))&amp;"",IFERROR(INDEX(Evaluation!$E$50:$E$52,MATCH(F11,Evaluation!$A$50:$A$52,0))&amp;"","?"))))</f>
        <v/>
      </c>
      <c r="L11" s="10">
        <f>IF(G11="","",IFERROR(INDEX('Live checks'!$G$6:$G$14,MATCH(G11,'Live checks'!$A$6:$A$14,0))&amp;"",IFERROR(INDEX(Manual!$G$6:$G$11,MATCH(G11,Manual!$A$6:$A$11,0))&amp;"",IFERROR(INDEX(Evaluation!$E$50:$E$52,MATCH(G11,Evaluation!$A$50:$A$52,0))&amp;"","?"))))</f>
        <v/>
      </c>
      <c r="M11" s="11">
        <f>IF(COUNTIF(H11:L11,"FAIL")&gt;0,"Not met",IF(COUNTIF(H11:L11,"PASS")=COUNTA(C11:G11),IF(N11="yes","Partly met","Met"),"Pending"))</f>
        <v/>
      </c>
      <c r="N11" s="10" t="n"/>
      <c r="O11" s="17" t="n"/>
    </row>
    <row r="12" ht="68" customHeight="1">
      <c r="A12" s="14" t="inlineStr">
        <is>
          <t>AC-08</t>
        </is>
      </c>
      <c r="B12" s="17" t="inlineStr">
        <is>
          <t>A failed Gemini call raises a Slack alert in the same run, logs the error and leaves the email for the next run; a failed action raises an alert and does not stop the run</t>
        </is>
      </c>
      <c r="C12" s="10" t="inlineStr">
        <is>
          <t>L-05</t>
        </is>
      </c>
      <c r="D12" s="10" t="inlineStr">
        <is>
          <t>L-06</t>
        </is>
      </c>
      <c r="E12" s="10" t="inlineStr">
        <is>
          <t>M-03</t>
        </is>
      </c>
      <c r="F12" s="10" t="n"/>
      <c r="G12" s="10" t="n"/>
      <c r="H12" s="10">
        <f>IF(C12="","",IFERROR(INDEX('Live checks'!$G$6:$G$14,MATCH(C12,'Live checks'!$A$6:$A$14,0))&amp;"",IFERROR(INDEX(Manual!$G$6:$G$11,MATCH(C12,Manual!$A$6:$A$11,0))&amp;"",IFERROR(INDEX(Evaluation!$E$50:$E$52,MATCH(C12,Evaluation!$A$50:$A$52,0))&amp;"","?"))))</f>
        <v/>
      </c>
      <c r="I12" s="10">
        <f>IF(D12="","",IFERROR(INDEX('Live checks'!$G$6:$G$14,MATCH(D12,'Live checks'!$A$6:$A$14,0))&amp;"",IFERROR(INDEX(Manual!$G$6:$G$11,MATCH(D12,Manual!$A$6:$A$11,0))&amp;"",IFERROR(INDEX(Evaluation!$E$50:$E$52,MATCH(D12,Evaluation!$A$50:$A$52,0))&amp;"","?"))))</f>
        <v/>
      </c>
      <c r="J12" s="10">
        <f>IF(E12="","",IFERROR(INDEX('Live checks'!$G$6:$G$14,MATCH(E12,'Live checks'!$A$6:$A$14,0))&amp;"",IFERROR(INDEX(Manual!$G$6:$G$11,MATCH(E12,Manual!$A$6:$A$11,0))&amp;"",IFERROR(INDEX(Evaluation!$E$50:$E$52,MATCH(E12,Evaluation!$A$50:$A$52,0))&amp;"","?"))))</f>
        <v/>
      </c>
      <c r="K12" s="10">
        <f>IF(F12="","",IFERROR(INDEX('Live checks'!$G$6:$G$14,MATCH(F12,'Live checks'!$A$6:$A$14,0))&amp;"",IFERROR(INDEX(Manual!$G$6:$G$11,MATCH(F12,Manual!$A$6:$A$11,0))&amp;"",IFERROR(INDEX(Evaluation!$E$50:$E$52,MATCH(F12,Evaluation!$A$50:$A$52,0))&amp;"","?"))))</f>
        <v/>
      </c>
      <c r="L12" s="10">
        <f>IF(G12="","",IFERROR(INDEX('Live checks'!$G$6:$G$14,MATCH(G12,'Live checks'!$A$6:$A$14,0))&amp;"",IFERROR(INDEX(Manual!$G$6:$G$11,MATCH(G12,Manual!$A$6:$A$11,0))&amp;"",IFERROR(INDEX(Evaluation!$E$50:$E$52,MATCH(G12,Evaluation!$A$50:$A$52,0))&amp;"","?"))))</f>
        <v/>
      </c>
      <c r="M12" s="11">
        <f>IF(COUNTIF(H12:L12,"FAIL")&gt;0,"Not met",IF(COUNTIF(H12:L12,"PASS")=COUNTA(C12:G12),IF(N12="yes","Partly met","Met"),"Pending"))</f>
        <v/>
      </c>
      <c r="N12" s="10" t="inlineStr">
        <is>
          <t>yes</t>
        </is>
      </c>
      <c r="O12" s="17" t="inlineStr">
        <is>
          <t>Tested for a failed Gemini call and a refused hand-off. On review: a failed Slack post is skipped without an alert (the alert would go to Slack too), and the archive step for noise has no error handler (open item 9)</t>
        </is>
      </c>
    </row>
    <row r="13" ht="42" customHeight="1">
      <c r="A13" s="14" t="inlineStr">
        <is>
          <t>AC-09</t>
        </is>
      </c>
      <c r="B13" s="17" t="inlineStr">
        <is>
          <t>Instructions embedded in an email are classified as content, flagged for a human, and never appear in a draft</t>
        </is>
      </c>
      <c r="C13" s="10" t="inlineStr">
        <is>
          <t>L-02</t>
        </is>
      </c>
      <c r="D13" s="10" t="inlineStr">
        <is>
          <t>EV-03</t>
        </is>
      </c>
      <c r="E13" s="10" t="n"/>
      <c r="F13" s="10" t="n"/>
      <c r="G13" s="10" t="n"/>
      <c r="H13" s="10">
        <f>IF(C13="","",IFERROR(INDEX('Live checks'!$G$6:$G$14,MATCH(C13,'Live checks'!$A$6:$A$14,0))&amp;"",IFERROR(INDEX(Manual!$G$6:$G$11,MATCH(C13,Manual!$A$6:$A$11,0))&amp;"",IFERROR(INDEX(Evaluation!$E$50:$E$52,MATCH(C13,Evaluation!$A$50:$A$52,0))&amp;"","?"))))</f>
        <v/>
      </c>
      <c r="I13" s="10">
        <f>IF(D13="","",IFERROR(INDEX('Live checks'!$G$6:$G$14,MATCH(D13,'Live checks'!$A$6:$A$14,0))&amp;"",IFERROR(INDEX(Manual!$G$6:$G$11,MATCH(D13,Manual!$A$6:$A$11,0))&amp;"",IFERROR(INDEX(Evaluation!$E$50:$E$52,MATCH(D13,Evaluation!$A$50:$A$52,0))&amp;"","?"))))</f>
        <v/>
      </c>
      <c r="J13" s="10">
        <f>IF(E13="","",IFERROR(INDEX('Live checks'!$G$6:$G$14,MATCH(E13,'Live checks'!$A$6:$A$14,0))&amp;"",IFERROR(INDEX(Manual!$G$6:$G$11,MATCH(E13,Manual!$A$6:$A$11,0))&amp;"",IFERROR(INDEX(Evaluation!$E$50:$E$52,MATCH(E13,Evaluation!$A$50:$A$52,0))&amp;"","?"))))</f>
        <v/>
      </c>
      <c r="K13" s="10">
        <f>IF(F13="","",IFERROR(INDEX('Live checks'!$G$6:$G$14,MATCH(F13,'Live checks'!$A$6:$A$14,0))&amp;"",IFERROR(INDEX(Manual!$G$6:$G$11,MATCH(F13,Manual!$A$6:$A$11,0))&amp;"",IFERROR(INDEX(Evaluation!$E$50:$E$52,MATCH(F13,Evaluation!$A$50:$A$52,0))&amp;"","?"))))</f>
        <v/>
      </c>
      <c r="L13" s="10">
        <f>IF(G13="","",IFERROR(INDEX('Live checks'!$G$6:$G$14,MATCH(G13,'Live checks'!$A$6:$A$14,0))&amp;"",IFERROR(INDEX(Manual!$G$6:$G$11,MATCH(G13,Manual!$A$6:$A$11,0))&amp;"",IFERROR(INDEX(Evaluation!$E$50:$E$52,MATCH(G13,Evaluation!$A$50:$A$52,0))&amp;"","?"))))</f>
        <v/>
      </c>
      <c r="M13" s="11">
        <f>IF(COUNTIF(H13:L13,"FAIL")&gt;0,"Not met",IF(COUNTIF(H13:L13,"PASS")=COUNTA(C13:G13),IF(N13="yes","Partly met","Met"),"Pending"))</f>
        <v/>
      </c>
      <c r="N13" s="10" t="n"/>
      <c r="O13" s="17" t="inlineStr">
        <is>
          <t>Under prompt 1.1 the injected text stayed out of the reply, but E-25 still got a draft; planned fix in open item 2</t>
        </is>
      </c>
    </row>
    <row r="14" ht="55" customHeight="1">
      <c r="A14" s="14" t="inlineStr">
        <is>
          <t>AC-10</t>
        </is>
      </c>
      <c r="B14" s="17" t="inlineStr">
        <is>
          <t>Reply templates, the confidence threshold and the Slack channel can be changed in the config sheet without editing the scenario</t>
        </is>
      </c>
      <c r="C14" s="10" t="inlineStr">
        <is>
          <t>M-05</t>
        </is>
      </c>
      <c r="D14" s="10" t="n"/>
      <c r="E14" s="10" t="n"/>
      <c r="F14" s="10" t="n"/>
      <c r="G14" s="10" t="n"/>
      <c r="H14" s="10">
        <f>IF(C14="","",IFERROR(INDEX('Live checks'!$G$6:$G$14,MATCH(C14,'Live checks'!$A$6:$A$14,0))&amp;"",IFERROR(INDEX(Manual!$G$6:$G$11,MATCH(C14,Manual!$A$6:$A$11,0))&amp;"",IFERROR(INDEX(Evaluation!$E$50:$E$52,MATCH(C14,Evaluation!$A$50:$A$52,0))&amp;"","?"))))</f>
        <v/>
      </c>
      <c r="I14" s="10">
        <f>IF(D14="","",IFERROR(INDEX('Live checks'!$G$6:$G$14,MATCH(D14,'Live checks'!$A$6:$A$14,0))&amp;"",IFERROR(INDEX(Manual!$G$6:$G$11,MATCH(D14,Manual!$A$6:$A$11,0))&amp;"",IFERROR(INDEX(Evaluation!$E$50:$E$52,MATCH(D14,Evaluation!$A$50:$A$52,0))&amp;"","?"))))</f>
        <v/>
      </c>
      <c r="J14" s="10">
        <f>IF(E14="","",IFERROR(INDEX('Live checks'!$G$6:$G$14,MATCH(E14,'Live checks'!$A$6:$A$14,0))&amp;"",IFERROR(INDEX(Manual!$G$6:$G$11,MATCH(E14,Manual!$A$6:$A$11,0))&amp;"",IFERROR(INDEX(Evaluation!$E$50:$E$52,MATCH(E14,Evaluation!$A$50:$A$52,0))&amp;"","?"))))</f>
        <v/>
      </c>
      <c r="K14" s="10">
        <f>IF(F14="","",IFERROR(INDEX('Live checks'!$G$6:$G$14,MATCH(F14,'Live checks'!$A$6:$A$14,0))&amp;"",IFERROR(INDEX(Manual!$G$6:$G$11,MATCH(F14,Manual!$A$6:$A$11,0))&amp;"",IFERROR(INDEX(Evaluation!$E$50:$E$52,MATCH(F14,Evaluation!$A$50:$A$52,0))&amp;"","?"))))</f>
        <v/>
      </c>
      <c r="L14" s="10">
        <f>IF(G14="","",IFERROR(INDEX('Live checks'!$G$6:$G$14,MATCH(G14,'Live checks'!$A$6:$A$14,0))&amp;"",IFERROR(INDEX(Manual!$G$6:$G$11,MATCH(G14,Manual!$A$6:$A$11,0))&amp;"",IFERROR(INDEX(Evaluation!$E$50:$E$52,MATCH(G14,Evaluation!$A$50:$A$52,0))&amp;"","?"))))</f>
        <v/>
      </c>
      <c r="M14" s="11">
        <f>IF(COUNTIF(H14:L14,"FAIL")&gt;0,"Not met",IF(COUNTIF(H14:L14,"PASS")=COUNTA(C14:G14),IF(N14="yes","Partly met","Met"),"Pending"))</f>
        <v/>
      </c>
      <c r="N14" s="10" t="inlineStr">
        <is>
          <t>yes</t>
        </is>
      </c>
      <c r="O14" s="17" t="inlineStr">
        <is>
          <t>Templates tested in M-05, and the threshold is read from the sheet on every run. On review: the Slack channel is set in live-ids.json when the blueprints are generated, not read from the sheet (open item 10)</t>
        </is>
      </c>
    </row>
  </sheetData>
  <mergeCells count="1">
    <mergeCell ref="A2:O2"/>
  </mergeCells>
  <conditionalFormatting sqref="H5:L14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M5:M14">
    <cfRule type="cellIs" priority="3" operator="equal" dxfId="0">
      <formula>"Met"</formula>
    </cfRule>
    <cfRule type="cellIs" priority="4" operator="equal" dxfId="1">
      <formula>"Not met"</formula>
    </cfRule>
    <cfRule type="cellIs" priority="5" operator="equal" dxfId="2">
      <formula>"Pending"</formula>
    </cfRule>
    <cfRule type="cellIs" priority="6" operator="equal" dxfId="2">
      <formula>"Partly met"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6" customWidth="1" min="2" max="2"/>
    <col width="34" customWidth="1" min="3" max="3"/>
    <col width="36" customWidth="1" min="4" max="4"/>
    <col width="60" customWidth="1" min="5" max="5"/>
    <col width="10" customWidth="1" min="6" max="6"/>
    <col width="28" customWidth="1" min="7" max="7"/>
    <col width="11" customWidth="1" min="8" max="8"/>
  </cols>
  <sheetData>
    <row r="1">
      <c r="A1" s="1" t="inlineStr">
        <is>
          <t>Changes after acceptance (13 Oct 2026)</t>
        </is>
      </c>
    </row>
    <row r="2">
      <c r="A2" s="2" t="inlineStr">
        <is>
          <t>Decisions made after the acceptance tests, each checked with a recorded run. C-05 is staged and waits for the evaluation after the 7 Nov credit reset.</t>
        </is>
      </c>
    </row>
    <row r="4">
      <c r="A4" s="8" t="inlineStr">
        <is>
          <t>ID</t>
        </is>
      </c>
      <c r="B4" s="8" t="inlineStr">
        <is>
          <t>Change</t>
        </is>
      </c>
      <c r="C4" s="8" t="inlineStr">
        <is>
          <t>Check</t>
        </is>
      </c>
      <c r="D4" s="8" t="inlineStr">
        <is>
          <t>Expected</t>
        </is>
      </c>
      <c r="E4" s="8" t="inlineStr">
        <is>
          <t>Actual result</t>
        </is>
      </c>
      <c r="F4" s="8" t="inlineStr">
        <is>
          <t>Pass/Fail</t>
        </is>
      </c>
      <c r="G4" s="8" t="inlineStr">
        <is>
          <t>Evidence</t>
        </is>
      </c>
      <c r="H4" s="8" t="inlineStr">
        <is>
          <t>Date</t>
        </is>
      </c>
    </row>
    <row r="5" ht="42" customHeight="1">
      <c r="A5" s="14" t="inlineStr">
        <is>
          <t>C-01</t>
        </is>
      </c>
      <c r="B5" s="17" t="inlineStr">
        <is>
          <t>Connection check after the changes</t>
        </is>
      </c>
      <c r="C5" s="17" t="inlineStr">
        <is>
          <t>00 run once</t>
        </is>
      </c>
      <c r="D5" s="17" t="inlineStr">
        <is>
          <t>9 of 9 PASS</t>
        </is>
      </c>
      <c r="E5" s="5" t="inlineStr">
        <is>
          <t>9 of 9 PASS; the sample email was classified support_request, urgent, confidence 0.95. The Gmail output of this run gave the ID of the new Triage/HR label</t>
        </is>
      </c>
      <c r="F5" s="20" t="inlineStr">
        <is>
          <t>PASS</t>
        </is>
      </c>
      <c r="G5" s="5" t="inlineStr">
        <is>
          <t>00 run 13 Oct 07:30 (11 operations)</t>
        </is>
      </c>
      <c r="H5" s="5" t="inlineStr">
        <is>
          <t>2026-10-13</t>
        </is>
      </c>
    </row>
    <row r="6" ht="107" customHeight="1">
      <c r="A6" s="14" t="inlineStr">
        <is>
          <t>C-02</t>
        </is>
      </c>
      <c r="B6" s="17" t="inlineStr">
        <is>
          <t>Support template rewritten: warm, plain and direct; closing "Thanks for flagging it early.", or "Sorry for the wait." when the sender is chasing; no time words</t>
        </is>
      </c>
      <c r="C6" s="17" t="inlineStr">
        <is>
          <t>seed_ids set to E-01,E-05; 03 run; 01 run once; seed_ids put back</t>
        </is>
      </c>
      <c r="D6" s="17" t="inlineStr">
        <is>
          <t>Both drafts follow the template; the E-05 draft (third email about a ticket) closes with "Sorry for the wait."; no time promise in either</t>
        </is>
      </c>
      <c r="E6" s="5" t="inlineStr">
        <is>
          <t>E-01: restates the problem, names who picks it up and the first check, asks one question, closes "Thanks for flagging it early.", no time promise. E-05: same shape, closes "Sorry for the wait.". Both support_request, urgent; needs_human false for E-01 and true for E-05, as labelled. Finding: the E-01 draft uses two technical terms (secure channel, domain controller) although the template asks for no jargon, and it is still one paragraph (open item 7)</t>
        </is>
      </c>
      <c r="F6" s="20" t="inlineStr">
        <is>
          <t>PASS</t>
        </is>
      </c>
      <c r="G6" s="5" t="inlineStr">
        <is>
          <t>03 run 13 Oct 07:33 (7 operations); 01 run 07:34 (24 operations); Make draft output</t>
        </is>
      </c>
      <c r="H6" s="5" t="inlineStr">
        <is>
          <t>2026-10-13</t>
        </is>
      </c>
    </row>
    <row r="7" ht="42" customHeight="1">
      <c r="A7" s="14" t="inlineStr">
        <is>
          <t>C-03</t>
        </is>
      </c>
      <c r="B7" s="17" t="inlineStr">
        <is>
          <t>Time to draft logged: triage_log columns AA received_at and AB minutes_to_draft</t>
        </is>
      </c>
      <c r="C7" s="17" t="inlineStr">
        <is>
          <t>Same 01 run</t>
        </is>
      </c>
      <c r="D7" s="17" t="inlineStr">
        <is>
          <t>Both new columns filled for emails that got a draft; minutes equal processed_at minus received_at</t>
        </is>
      </c>
      <c r="E7" s="5" t="inlineStr">
        <is>
          <t>Rows 31 and 32: received_at 07:33:34 and 07:33:32, minutes_to_draft 1.4 and 1.5 (logged at 07:34:58 and 07:35:00)</t>
        </is>
      </c>
      <c r="F7" s="20" t="inlineStr">
        <is>
          <t>PASS</t>
        </is>
      </c>
      <c r="G7" s="5" t="inlineStr">
        <is>
          <t>triage_log rows 31 and 32</t>
        </is>
      </c>
      <c r="H7" s="5" t="inlineStr">
        <is>
          <t>2026-10-13</t>
        </is>
      </c>
    </row>
    <row r="8" ht="107" customHeight="1">
      <c r="A8" s="14" t="inlineStr">
        <is>
          <t>C-04</t>
        </is>
      </c>
      <c r="B8" s="17" t="inlineStr">
        <is>
          <t>04 - Weekly Digest: last 7 days of triage_log posted to Slack every Monday at 08:00</t>
        </is>
      </c>
      <c r="C8" s="17" t="inlineStr">
        <is>
          <t>Run once; then an empty-week test (cutoff moved into the future, not saved); then the final version</t>
        </is>
      </c>
      <c r="D8" s="17" t="inlineStr">
        <is>
          <t>Counts per category and urgency, drafts, median time to draft, people and lead-router hand-offs, matching the log; an empty week posts zeros</t>
        </is>
      </c>
      <c r="E8" s="5" t="inlineStr">
        <is>
          <t>First run failed: median() refused text ("not a valid number"); fixed by turning the minutes into numbers. Empty-week test posted zero counts and n/a for the median. Final run: 25 emails triaged plus 6 failed attempts; Support 7, Sales 9, Billing 2, Scheduling 2, Noise 3, Review 2; urgent 6, normal 16, low 3; 17 drafts, median 1.5 min over 2 timed drafts; 8 needed a person; 11 went to the lead router. Every figure matches a separate count of the log. Scheduled and switched on</t>
        </is>
      </c>
      <c r="F8" s="20" t="inlineStr">
        <is>
          <t>PASS</t>
        </is>
      </c>
      <c r="G8" s="5" t="inlineStr">
        <is>
          <t>04 runs 13 Oct 07:38 (error), the empty-week test and 07:48; 3 operations each</t>
        </is>
      </c>
      <c r="H8" s="5" t="inlineStr">
        <is>
          <t>2026-10-13</t>
        </is>
      </c>
    </row>
    <row r="9" ht="42" customHeight="1">
      <c r="A9" s="14" t="inlineStr">
        <is>
          <t>C-05</t>
        </is>
      </c>
      <c r="B9" s="17" t="inlineStr">
        <is>
          <t>Prompt 1.2: job_application category (Triage/HR, no draft, no Slack post, always low urgency)</t>
        </is>
      </c>
      <c r="C9" s="17" t="inlineStr">
        <is>
          <t>Staged only: prompt, schema, five blueprints, eval_set_1_2 tab (43 emails) and the Triage/HR label</t>
        </is>
      </c>
      <c r="D9" s="17" t="inlineStr">
        <is>
          <t>Full evaluation on 43 emails before release (docs/05-prompt-1.2-release.md)</t>
        </is>
      </c>
      <c r="E9" s="5" t="inlineStr">
        <is>
          <t>Not run yet: the evaluation needs about 170 operations and the free plan has 64 credits until it resets on 7 Nov. Production stays on prompt 1.1</t>
        </is>
      </c>
      <c r="F9" s="20" t="inlineStr"/>
      <c r="G9" s="5" t="inlineStr">
        <is>
          <t>docs/05-prompt-1.2-release.md</t>
        </is>
      </c>
      <c r="H9" s="5" t="inlineStr"/>
    </row>
  </sheetData>
  <mergeCells count="1">
    <mergeCell ref="A2:H2"/>
  </mergeCells>
  <conditionalFormatting sqref="F5:F9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F5:F9" showDropDown="0" showInputMessage="1" showErrorMessage="0" allowBlank="1" promptTitle="Result" prompt="PASS or FAIL. Leave blank if not run yet." type="list">
      <formula1>"PASS,FAIL"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2026-10-13T11:54:06Z</dcterms:created>
  <dcterms:modified xmlns:dcterms="http://purl.org/dc/terms/" xmlns:xsi="http://www.w3.org/2001/XMLSchema-instance" xsi:type="dcterms:W3CDTF">2026-10-13T11:54:06Z</dcterms:modified>
</cp:coreProperties>
</file>